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Page" sheetId="1" state="visible" r:id="rId3"/>
    <sheet name="GRC Framework" sheetId="2" state="visible" r:id="rId4"/>
    <sheet name="Risk Register" sheetId="3" state="visible" r:id="rId5"/>
    <sheet name="Security Policies" sheetId="4" state="visible" r:id="rId6"/>
    <sheet name="Incident Response" sheetId="5" state="visible" r:id="rId7"/>
    <sheet name="ISO 27001 Mapping" sheetId="6" state="visible" r:id="rId8"/>
    <sheet name="Executive Dashboard"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<sst xmlns="http://schemas.openxmlformats.org/spreadsheetml/2006/main" count="739" uniqueCount="525">
  <si>
    <t xml:space="preserve">GRC IMPLEMENTATION PROJECT
SaaS Organization — Governance, Risk &amp; Compliance Framework</t>
  </si>
  <si>
    <t xml:space="preserve">ISO/IEC 27001:2022  ·  NIST CSF  ·  GRC Framework Design  ·  Incident Response  ·  Security Policy</t>
  </si>
  <si>
    <t xml:space="preserve">Organization:</t>
  </si>
  <si>
    <t xml:space="preserve">NovaTech SaaS Pvt. Ltd. (Simulated)</t>
  </si>
  <si>
    <t xml:space="preserve">Industry:</t>
  </si>
  <si>
    <t xml:space="preserve">Software as a Service (SaaS) — B2B Cloud Platform</t>
  </si>
  <si>
    <t xml:space="preserve">Project Type:</t>
  </si>
  <si>
    <t xml:space="preserve">Full GRC Framework Implementation</t>
  </si>
  <si>
    <t xml:space="preserve">Framework(s):</t>
  </si>
  <si>
    <t xml:space="preserve">ISO/IEC 27001:2022 | NIST CSF | CIS Controls v8</t>
  </si>
  <si>
    <t xml:space="preserve">Risk Model:</t>
  </si>
  <si>
    <t xml:space="preserve">5×5 Likelihood × Impact Matrix</t>
  </si>
  <si>
    <t xml:space="preserve">Total Risks:</t>
  </si>
  <si>
    <t xml:space="preserve">22 Identified Risks across 7 Domains</t>
  </si>
  <si>
    <t xml:space="preserve">Policies Created:</t>
  </si>
  <si>
    <t xml:space="preserve">8 Security Policies Documented</t>
  </si>
  <si>
    <t xml:space="preserve">IR Playbooks:</t>
  </si>
  <si>
    <t xml:space="preserve">5 Incident Response Scenarios</t>
  </si>
  <si>
    <t xml:space="preserve">Assessment Date:</t>
  </si>
  <si>
    <t xml:space="preserve">May 2026</t>
  </si>
  <si>
    <t xml:space="preserve">Prepared By:</t>
  </si>
  <si>
    <t xml:space="preserve">GRC Analyst (Fresher Portfolio Project)</t>
  </si>
  <si>
    <t xml:space="preserve">Classification:</t>
  </si>
  <si>
    <t xml:space="preserve">CONFIDENTIAL — Internal Use Only</t>
  </si>
  <si>
    <t xml:space="preserve">Version:</t>
  </si>
  <si>
    <t xml:space="preserve">v1.0 — Initial Release</t>
  </si>
  <si>
    <t xml:space="preserve">PROJECT SCOPE &amp; OBJECTIVES</t>
  </si>
  <si>
    <t xml:space="preserve">This project simulates a complete GRC implementation for NovaTech SaaS Pvt. Ltd., a cloud-based B2B platform handling sensitive client data. The project covers: (1) Design of the GRC framework structure and governance charter, (2) Identification and scoring of 22 organizational risks across 7 domains, (3) Full risk register with ISO 27001 control mapping and mitigation plans, (4) Development of 8 security policies aligned to ISO 27001:2022 Annex A, (5) Incident response plans for 5 critical scenarios, and (6) Executive dashboard for risk visibility. All content is simulated for portfolio demonstration purposes.</t>
  </si>
  <si>
    <t xml:space="preserve">NovaTech SaaS Pvt. Ltd.  ·  GRC Implementation Project  ·  Confidential  ·  ISO 27001:2022</t>
  </si>
  <si>
    <t xml:space="preserve">GRC FRAMEWORK DESIGN — NovaTech SaaS Pvt. Ltd.</t>
  </si>
  <si>
    <t xml:space="preserve">Governance · Risk Management · Compliance — Three-Pillar Framework</t>
  </si>
  <si>
    <t xml:space="preserve">GOVERNANCE</t>
  </si>
  <si>
    <t xml:space="preserve">RISK MANAGEMENT</t>
  </si>
  <si>
    <t xml:space="preserve">COMPLIANCE</t>
  </si>
  <si>
    <t xml:space="preserve">  ▸  Board of Directors</t>
  </si>
  <si>
    <t xml:space="preserve">  ▸  Risk Identification</t>
  </si>
  <si>
    <t xml:space="preserve">  ▸  ISO 27001:2022</t>
  </si>
  <si>
    <t xml:space="preserve">  ▸  CISO / Risk Committee</t>
  </si>
  <si>
    <t xml:space="preserve">  ▸  Risk Assessment</t>
  </si>
  <si>
    <t xml:space="preserve">  ▸  GDPR / PDPA</t>
  </si>
  <si>
    <t xml:space="preserve">  ▸  GRC Steering Group</t>
  </si>
  <si>
    <t xml:space="preserve">  ▸  Risk Treatment</t>
  </si>
  <si>
    <t xml:space="preserve">  ▸  SOC 2 Type II</t>
  </si>
  <si>
    <t xml:space="preserve">  ▸  Department Heads</t>
  </si>
  <si>
    <t xml:space="preserve">  ▸  Risk Monitoring</t>
  </si>
  <si>
    <t xml:space="preserve">  ▸  Internal Audit</t>
  </si>
  <si>
    <t xml:space="preserve">Key Activities</t>
  </si>
  <si>
    <t xml:space="preserve">  ✓  Define risk appetite &amp; tolerance</t>
  </si>
  <si>
    <t xml:space="preserve">  ✓  Maintain organizational risk register</t>
  </si>
  <si>
    <t xml:space="preserve">  ✓  Map controls to ISO Annex A</t>
  </si>
  <si>
    <t xml:space="preserve">  ✓  Approve GRC policies &amp; framework</t>
  </si>
  <si>
    <t xml:space="preserve">  ✓  Score risks using 5×5 L×I matrix</t>
  </si>
  <si>
    <t xml:space="preserve">  ✓  Monitor regulatory changes</t>
  </si>
  <si>
    <t xml:space="preserve">  ✓  Oversee compliance posture</t>
  </si>
  <si>
    <t xml:space="preserve">  ✓  Apply Accept / Mitigate / Transfer / Avoid</t>
  </si>
  <si>
    <t xml:space="preserve">  ✓  Conduct annual internal audits</t>
  </si>
  <si>
    <t xml:space="preserve">  ✓  Assign accountability for controls</t>
  </si>
  <si>
    <t xml:space="preserve">  ✓  Conduct quarterly risk reviews</t>
  </si>
  <si>
    <t xml:space="preserve">  ✓  Manage audit findings to closure</t>
  </si>
  <si>
    <t xml:space="preserve">  ✓  Review quarterly risk reports</t>
  </si>
  <si>
    <t xml:space="preserve">  ✓  Report risks to steering committee</t>
  </si>
  <si>
    <t xml:space="preserve">  ✓  Maintain compliance evidence library</t>
  </si>
  <si>
    <t xml:space="preserve">RISK APPETITE &amp; TOLERANCE STATEMENT</t>
  </si>
  <si>
    <t xml:space="preserve">Risk Category</t>
  </si>
  <si>
    <t xml:space="preserve">Risk Appetite</t>
  </si>
  <si>
    <t xml:space="preserve">Tolerance Threshold</t>
  </si>
  <si>
    <t xml:space="preserve">Response</t>
  </si>
  <si>
    <t xml:space="preserve">Information Security</t>
  </si>
  <si>
    <t xml:space="preserve">Low</t>
  </si>
  <si>
    <t xml:space="preserve">Zero tolerance for data breaches</t>
  </si>
  <si>
    <t xml:space="preserve">Immediate escalation to CISO</t>
  </si>
  <si>
    <t xml:space="preserve">Compliance / Legal</t>
  </si>
  <si>
    <t xml:space="preserve">Very Low</t>
  </si>
  <si>
    <t xml:space="preserve">Zero regulatory violations</t>
  </si>
  <si>
    <t xml:space="preserve">Legal + GRC team intervention</t>
  </si>
  <si>
    <t xml:space="preserve">Operational Uptime</t>
  </si>
  <si>
    <t xml:space="preserve">Max 4 hrs downtime/month (99.9%)</t>
  </si>
  <si>
    <t xml:space="preserve">BCP activation within 1 hour</t>
  </si>
  <si>
    <t xml:space="preserve">Financial Loss</t>
  </si>
  <si>
    <t xml:space="preserve">Medium</t>
  </si>
  <si>
    <t xml:space="preserve">Up to ₹25 Lakhs per incident</t>
  </si>
  <si>
    <t xml:space="preserve">CFO approval required above limit</t>
  </si>
  <si>
    <t xml:space="preserve">Reputational Risk</t>
  </si>
  <si>
    <t xml:space="preserve">No public data incidents</t>
  </si>
  <si>
    <t xml:space="preserve">Crisis comms plan activated</t>
  </si>
  <si>
    <t xml:space="preserve">Third-Party / Vendor</t>
  </si>
  <si>
    <t xml:space="preserve">Annual vendor risk assessment</t>
  </si>
  <si>
    <t xml:space="preserve">Vendor remediation or exit</t>
  </si>
  <si>
    <t xml:space="preserve">GRC GOVERNANCE CHARTER — KEY ELEMENTS</t>
  </si>
  <si>
    <t xml:space="preserve">Charter Element</t>
  </si>
  <si>
    <t xml:space="preserve">Description</t>
  </si>
  <si>
    <t xml:space="preserve">Responsible Party</t>
  </si>
  <si>
    <t xml:space="preserve">Review Cycle</t>
  </si>
  <si>
    <t xml:space="preserve">GRC Policy Statement</t>
  </si>
  <si>
    <t xml:space="preserve">Defines org commitment to managing risk &amp; compliance</t>
  </si>
  <si>
    <t xml:space="preserve">CEO / Board</t>
  </si>
  <si>
    <t xml:space="preserve">Annual</t>
  </si>
  <si>
    <t xml:space="preserve">Roles &amp; Responsibilities</t>
  </si>
  <si>
    <t xml:space="preserve">RACI matrix for all GRC activities</t>
  </si>
  <si>
    <t xml:space="preserve">CISO</t>
  </si>
  <si>
    <t xml:space="preserve">Risk Assessment Process</t>
  </si>
  <si>
    <t xml:space="preserve">5×5 L×I scoring, quarterly reviews</t>
  </si>
  <si>
    <t xml:space="preserve">Risk Manager</t>
  </si>
  <si>
    <t xml:space="preserve">Quarterly</t>
  </si>
  <si>
    <t xml:space="preserve">Control Framework</t>
  </si>
  <si>
    <t xml:space="preserve">ISO 27001 Annex A + CIS Controls v8</t>
  </si>
  <si>
    <t xml:space="preserve">CISO / IT Security</t>
  </si>
  <si>
    <t xml:space="preserve">Audit &amp; Assurance</t>
  </si>
  <si>
    <t xml:space="preserve">Internal audit annually; external audit bi-annually</t>
  </si>
  <si>
    <t xml:space="preserve">Internal Audit Lead</t>
  </si>
  <si>
    <t xml:space="preserve">Bi-Annual</t>
  </si>
  <si>
    <t xml:space="preserve">Incident Management</t>
  </si>
  <si>
    <t xml:space="preserve">IR playbooks, CSIRT team, 72-hr breach notification</t>
  </si>
  <si>
    <t xml:space="preserve">CSIRT Lead</t>
  </si>
  <si>
    <t xml:space="preserve">Post-incident</t>
  </si>
  <si>
    <t xml:space="preserve">Training &amp; Awareness</t>
  </si>
  <si>
    <t xml:space="preserve">Mandatory annual security training for all staff</t>
  </si>
  <si>
    <t xml:space="preserve">HR + CISO</t>
  </si>
  <si>
    <t xml:space="preserve">Vendor Risk Management</t>
  </si>
  <si>
    <t xml:space="preserve">Annual third-party risk assessments for all Tier-1</t>
  </si>
  <si>
    <t xml:space="preserve">Procurement + GRC</t>
  </si>
  <si>
    <t xml:space="preserve">Continuous Monitoring</t>
  </si>
  <si>
    <t xml:space="preserve">SIEM, log monitoring, vulnerability scanning</t>
  </si>
  <si>
    <t xml:space="preserve">SOC Team</t>
  </si>
  <si>
    <t xml:space="preserve">Ongoing</t>
  </si>
  <si>
    <t xml:space="preserve">ORGANIZATIONAL RISK REGISTER — NovaTech SaaS Pvt. Ltd.</t>
  </si>
  <si>
    <t xml:space="preserve">22 Risks · 7 Domains · ISO 27001:2022 Mapped · 5×5 Risk Scoring Model · May 2026</t>
  </si>
  <si>
    <t xml:space="preserve">Risk ID</t>
  </si>
  <si>
    <t xml:space="preserve">Domain</t>
  </si>
  <si>
    <t xml:space="preserve">Risk Title</t>
  </si>
  <si>
    <t xml:space="preserve">Risk Description</t>
  </si>
  <si>
    <t xml:space="preserve">Potential Impact</t>
  </si>
  <si>
    <t xml:space="preserve">Like-
lihood
(1–5)</t>
  </si>
  <si>
    <t xml:space="preserve">Impact
(1–5)</t>
  </si>
  <si>
    <t xml:space="preserve">Risk
Score</t>
  </si>
  <si>
    <t xml:space="preserve">Risk Level</t>
  </si>
  <si>
    <t xml:space="preserve">ISO 27001
Control Ref.</t>
  </si>
  <si>
    <t xml:space="preserve">Mitigation Strategy</t>
  </si>
  <si>
    <t xml:space="preserve">Risk Owner</t>
  </si>
  <si>
    <t xml:space="preserve">Review
Date</t>
  </si>
  <si>
    <t xml:space="preserve">R-01</t>
  </si>
  <si>
    <t xml:space="preserve">Cybersecurity</t>
  </si>
  <si>
    <t xml:space="preserve">Ransomware Attack</t>
  </si>
  <si>
    <t xml:space="preserve">Malicious actors encrypt production systems and databases via phishing or unpatched vulnerabilities, demanding ransom payment.</t>
  </si>
  <si>
    <t xml:space="preserve">Complete service outage; permanent data loss; reputational damage; regulatory breach.</t>
  </si>
  <si>
    <t xml:space="preserve">Critical</t>
  </si>
  <si>
    <t xml:space="preserve">A.8.7 – Protection Against Malware</t>
  </si>
  <si>
    <t xml:space="preserve">Deploy EDR solution. Enforce immutable backups. Conduct phishing simulation quarterly. Patch all critical CVEs within 72 hrs.</t>
  </si>
  <si>
    <t xml:space="preserve">Q3 2026</t>
  </si>
  <si>
    <t xml:space="preserve">R-02</t>
  </si>
  <si>
    <t xml:space="preserve">SQL Injection / Web App Attack</t>
  </si>
  <si>
    <t xml:space="preserve">Attackers exploit unvalidated input fields in the SaaS platform to extract, modify or delete customer database records.</t>
  </si>
  <si>
    <t xml:space="preserve">Mass data exfiltration; regulatory penalties (GDPR); customer churn; litigation.</t>
  </si>
  <si>
    <t xml:space="preserve">A.8.29 – Security Testing in Dev</t>
  </si>
  <si>
    <t xml:space="preserve">Implement WAF. Conduct DAST/SAST testing in CI/CD pipeline. Run annual pen test. Input validation on all endpoints.</t>
  </si>
  <si>
    <t xml:space="preserve">AppSec Lead</t>
  </si>
  <si>
    <t xml:space="preserve">R-03</t>
  </si>
  <si>
    <t xml:space="preserve">Insider Threat — Malicious Employee</t>
  </si>
  <si>
    <t xml:space="preserve">A privileged employee intentionally exfiltrates customer data, modifies financial records, or sabotages systems before resignation.</t>
  </si>
  <si>
    <t xml:space="preserve">Sensitive data theft; service disruption; compliance violations; legal liability.</t>
  </si>
  <si>
    <t xml:space="preserve">A.6.3 – Information Security Awareness</t>
  </si>
  <si>
    <t xml:space="preserve">Implement UBA/DLP tools. Enforce least privilege. Conduct background checks. Monitor privileged user sessions.</t>
  </si>
  <si>
    <t xml:space="preserve">Q2 2026</t>
  </si>
  <si>
    <t xml:space="preserve">R-04</t>
  </si>
  <si>
    <t xml:space="preserve">DDoS Attack on SaaS Platform</t>
  </si>
  <si>
    <t xml:space="preserve">Volumetric or application-layer DDoS attack overwhelms platform infrastructure, causing extended service unavailability.</t>
  </si>
  <si>
    <t xml:space="preserve">SLA breach; revenue loss; customer attrition; brand damage.</t>
  </si>
  <si>
    <t xml:space="preserve">High</t>
  </si>
  <si>
    <t xml:space="preserve">A.8.14 – Redundancy of Information Processing</t>
  </si>
  <si>
    <t xml:space="preserve">Subscribe to CDN-based DDoS mitigation (e.g. Cloudflare). Configure rate limiting. Activate BCP on detection.</t>
  </si>
  <si>
    <t xml:space="preserve">Infrastructure Lead</t>
  </si>
  <si>
    <t xml:space="preserve">R-05</t>
  </si>
  <si>
    <t xml:space="preserve">Access Control</t>
  </si>
  <si>
    <t xml:space="preserve">Weak Password Policy</t>
  </si>
  <si>
    <t xml:space="preserve">Users and admins set weak or reused passwords across the platform, enabling credential stuffing and brute-force attacks.</t>
  </si>
  <si>
    <t xml:space="preserve">Unauthorized account access; customer data breach; regulatory penalties.</t>
  </si>
  <si>
    <t xml:space="preserve">A.8.5 – Secure Authentication</t>
  </si>
  <si>
    <t xml:space="preserve">Enforce password complexity policy (min 12 chars). Mandate MFA for all accounts. Integrate HaveIBeenPwned API checks.</t>
  </si>
  <si>
    <t xml:space="preserve">IT Security</t>
  </si>
  <si>
    <t xml:space="preserve">R-06</t>
  </si>
  <si>
    <t xml:space="preserve">Privilege Escalation — Misconfigured IAM</t>
  </si>
  <si>
    <t xml:space="preserve">Misconfigured cloud IAM roles allow standard users or services to elevate privileges and access restricted resources.</t>
  </si>
  <si>
    <t xml:space="preserve">Unauthorized access to sensitive data; lateral movement risk; potential data breach.</t>
  </si>
  <si>
    <t xml:space="preserve">A.8.2 – Privileged Access Rights</t>
  </si>
  <si>
    <t xml:space="preserve">Audit all IAM policies quarterly. Enforce least-privilege by default. Enable AWS/Azure privilege boundary policies.</t>
  </si>
  <si>
    <t xml:space="preserve">Cloud Security</t>
  </si>
  <si>
    <t xml:space="preserve">R-07</t>
  </si>
  <si>
    <t xml:space="preserve">Shared / Generic Accounts</t>
  </si>
  <si>
    <t xml:space="preserve">Multiple team members sharing a single admin account makes audit trails unattributable and access revocation impossible.</t>
  </si>
  <si>
    <t xml:space="preserve">Loss of audit trail; inability to investigate incidents; compliance failure.</t>
  </si>
  <si>
    <t xml:space="preserve">A.5.16 – Identity Management</t>
  </si>
  <si>
    <t xml:space="preserve">Eliminate all shared accounts. Enforce individual named accounts. Implement PAM for admin credential checkout.</t>
  </si>
  <si>
    <t xml:space="preserve">IT Ops</t>
  </si>
  <si>
    <t xml:space="preserve">R-08</t>
  </si>
  <si>
    <t xml:space="preserve">Data Security</t>
  </si>
  <si>
    <t xml:space="preserve">Unencrypted PII at Rest</t>
  </si>
  <si>
    <t xml:space="preserve">Customer PII (names, emails, payment refs) stored in databases without AES-256 encryption or field-level encryption.</t>
  </si>
  <si>
    <t xml:space="preserve">Regulatory non-compliance (GDPR Art. 32); fines up to 4% global turnover; breach liability.</t>
  </si>
  <si>
    <t xml:space="preserve">A.8.24 – Use of Cryptography</t>
  </si>
  <si>
    <t xml:space="preserve">Enforce AES-256 encryption for all PII fields. Implement TDE on databases. Audit encryption coverage quarterly.</t>
  </si>
  <si>
    <t xml:space="preserve">Data Engineering</t>
  </si>
  <si>
    <t xml:space="preserve">R-09</t>
  </si>
  <si>
    <t xml:space="preserve">Sensitive Data in Logs</t>
  </si>
  <si>
    <t xml:space="preserve">Application and API logs inadvertently capture passwords, tokens, PII, or payment data in plaintext log files.</t>
  </si>
  <si>
    <t xml:space="preserve">Credential exposure; regulatory breach; data leakage through log management systems.</t>
  </si>
  <si>
    <t xml:space="preserve">A.8.12 – Information Leakage</t>
  </si>
  <si>
    <t xml:space="preserve">Implement log scrubbing filters. Audit log configurations monthly. Use structured logging with PII masking library.</t>
  </si>
  <si>
    <t xml:space="preserve">DevOps</t>
  </si>
  <si>
    <t xml:space="preserve">R-10</t>
  </si>
  <si>
    <t xml:space="preserve">No Data Classification Policy</t>
  </si>
  <si>
    <t xml:space="preserve">Absence of formal data classification means employees handle all data the same way regardless of sensitivity level.</t>
  </si>
  <si>
    <t xml:space="preserve">Inappropriate handling of confidential data; overexposure of sensitive assets; compliance gaps.</t>
  </si>
  <si>
    <t xml:space="preserve">A.5.12 – Classification of Information</t>
  </si>
  <si>
    <t xml:space="preserve">Implement 4-tier classification: Public / Internal / Confidential / Restricted. Train all staff. Label all data assets.</t>
  </si>
  <si>
    <t xml:space="preserve">GRC Team</t>
  </si>
  <si>
    <t xml:space="preserve">R-11</t>
  </si>
  <si>
    <t xml:space="preserve">Compliance</t>
  </si>
  <si>
    <t xml:space="preserve">GDPR Non-Compliance</t>
  </si>
  <si>
    <t xml:space="preserve">Gaps in data processing agreements, consent management, and breach notification processes create GDPR compliance exposure.</t>
  </si>
  <si>
    <t xml:space="preserve">Regulatory fines up to €20M or 4% annual turnover; reputational damage; customer loss.</t>
  </si>
  <si>
    <t xml:space="preserve">A.5.34 – Privacy / PII Protection</t>
  </si>
  <si>
    <t xml:space="preserve">Appoint Data Protection Officer. Complete DPIA for all processing activities. Implement 72-hr breach notification process.</t>
  </si>
  <si>
    <t xml:space="preserve">Legal + GRC</t>
  </si>
  <si>
    <t xml:space="preserve">R-12</t>
  </si>
  <si>
    <t xml:space="preserve">Missing SOC 2 Type II Certification</t>
  </si>
  <si>
    <t xml:space="preserve">Lack of SOC 2 Type II report prevents enterprise client acquisition requiring vendor compliance evidence.</t>
  </si>
  <si>
    <t xml:space="preserve">Lost sales; inability to serve regulated industry clients; competitive disadvantage.</t>
  </si>
  <si>
    <t xml:space="preserve">A.5.36 – Compliance with Policies</t>
  </si>
  <si>
    <t xml:space="preserve">Engage SOC 2 readiness consultant. Define 12-month roadmap to Type II. Implement continuous compliance monitoring.</t>
  </si>
  <si>
    <t xml:space="preserve">GRC Manager</t>
  </si>
  <si>
    <t xml:space="preserve">Q4 2026</t>
  </si>
  <si>
    <t xml:space="preserve">R-13</t>
  </si>
  <si>
    <t xml:space="preserve">Inadequate Audit Logging &amp; Retention</t>
  </si>
  <si>
    <t xml:space="preserve">System and access logs not retained for the minimum 12-month period required by ISO 27001 and contractual obligations.</t>
  </si>
  <si>
    <t xml:space="preserve">Inability to investigate incidents; audit failures; regulatory non-compliance; legal discovery gaps.</t>
  </si>
  <si>
    <t xml:space="preserve">A.8.15 – Logging</t>
  </si>
  <si>
    <t xml:space="preserve">Configure 13-month log retention in SIEM. Enable tamper-proof logging. Define log review schedule for security events.</t>
  </si>
  <si>
    <t xml:space="preserve">SOC / IT Security</t>
  </si>
  <si>
    <t xml:space="preserve">R-14</t>
  </si>
  <si>
    <t xml:space="preserve">Third-Party</t>
  </si>
  <si>
    <t xml:space="preserve">Critical SaaS Vendor Without Risk Assessment</t>
  </si>
  <si>
    <t xml:space="preserve">Key SaaS tools (CRM, HR, payroll) handling sensitive data have never undergone formal security assessment.</t>
  </si>
  <si>
    <t xml:space="preserve">Supply chain attack; data breach via third-party; compliance failure on data processor obligations.</t>
  </si>
  <si>
    <t xml:space="preserve">A.5.19 – IS in Supplier Relationships</t>
  </si>
  <si>
    <t xml:space="preserve">Implement vendor risk assessment program. Tier all vendors. Require SOC 2 / ISO cert for Tier-1. Annual reassessment.</t>
  </si>
  <si>
    <t xml:space="preserve">R-15</t>
  </si>
  <si>
    <t xml:space="preserve">No Contract Security Clauses</t>
  </si>
  <si>
    <t xml:space="preserve">Vendor contracts lack security requirements including breach notification timelines, audit rights, and data return obligations.</t>
  </si>
  <si>
    <t xml:space="preserve">Inability to enforce security obligations; undetected vendor breaches; regulatory liability.</t>
  </si>
  <si>
    <t xml:space="preserve">A.5.20 – Addressing IS in Supplier Agreements</t>
  </si>
  <si>
    <t xml:space="preserve">Create standard vendor security annex. Include in all new contracts. Retrofit critical existing vendors within 6 months.</t>
  </si>
  <si>
    <t xml:space="preserve">Legal + Procurement</t>
  </si>
  <si>
    <t xml:space="preserve">R-16</t>
  </si>
  <si>
    <t xml:space="preserve">Business Continuity</t>
  </si>
  <si>
    <t xml:space="preserve">No Disaster Recovery Plan</t>
  </si>
  <si>
    <t xml:space="preserve">Platform has no documented or tested DR plan. A cloud region failure or infrastructure event would cause undefined downtime.</t>
  </si>
  <si>
    <t xml:space="preserve">Extended service unavailability; SLA breach penalties; permanent data loss; customer churn.</t>
  </si>
  <si>
    <t xml:space="preserve">A.5.30 – ICT Readiness for Business Continuity</t>
  </si>
  <si>
    <t xml:space="preserve">Design and document DR plan with RTO ≤ 4hrs, RPO ≤ 1hr. Implement multi-region failover. Test DR annually.</t>
  </si>
  <si>
    <t xml:space="preserve">Infrastructure + BCP</t>
  </si>
  <si>
    <t xml:space="preserve">R-17</t>
  </si>
  <si>
    <t xml:space="preserve">Single Point of Failure — Database Cluster</t>
  </si>
  <si>
    <t xml:space="preserve">Primary database runs in a single-node configuration with no automated failover, creating infrastructure SPOF.</t>
  </si>
  <si>
    <t xml:space="preserve">Complete data unavailability on node failure; data loss; RTO undefined.</t>
  </si>
  <si>
    <t xml:space="preserve">A.8.14 – Redundancy of IT Processing</t>
  </si>
  <si>
    <t xml:space="preserve">Migrate to multi-node database cluster with synchronous replication. Enable automated failover. Test monthly.</t>
  </si>
  <si>
    <t xml:space="preserve">Database Admin</t>
  </si>
  <si>
    <t xml:space="preserve">R-18</t>
  </si>
  <si>
    <t xml:space="preserve">Backup Untested for 18+ Months</t>
  </si>
  <si>
    <t xml:space="preserve">Automated backups run nightly but restoration has not been tested in over 18 months, creating unknown recovery risk.</t>
  </si>
  <si>
    <t xml:space="preserve">Assumed data recovery capability may not function; total data loss risk during disaster.</t>
  </si>
  <si>
    <t xml:space="preserve">A.8.13 – Information Backup</t>
  </si>
  <si>
    <t xml:space="preserve">Conduct immediate backup restoration test. Schedule quarterly restore tests. Document results and RTO achieved.</t>
  </si>
  <si>
    <t xml:space="preserve">DevOps / Cloud Ops</t>
  </si>
  <si>
    <t xml:space="preserve">R-19</t>
  </si>
  <si>
    <t xml:space="preserve">HR &amp; People</t>
  </si>
  <si>
    <t xml:space="preserve">No Mandatory Security Awareness Training</t>
  </si>
  <si>
    <t xml:space="preserve">Employees receive no formal security training onboarding or ongoing, creating high susceptibility to social engineering.</t>
  </si>
  <si>
    <t xml:space="preserve">High phishing success rate; insider risk; compliance gap under ISO 27001 Clause 7.2.</t>
  </si>
  <si>
    <t xml:space="preserve">A.6.3 – IS Awareness, Education &amp; Training</t>
  </si>
  <si>
    <t xml:space="preserve">Launch mandatory annual security awareness program. Run quarterly phishing simulations. Track completion rate to 100%.</t>
  </si>
  <si>
    <t xml:space="preserve">R-20</t>
  </si>
  <si>
    <t xml:space="preserve">No Background Verification for New Hires</t>
  </si>
  <si>
    <t xml:space="preserve">Engineering and DevOps hires with access to production systems undergo no pre-employment background checks.</t>
  </si>
  <si>
    <t xml:space="preserve">Risk of hiring individuals with criminal history or fraudulent credentials in sensitive roles.</t>
  </si>
  <si>
    <t xml:space="preserve">A.6.1 – Screening</t>
  </si>
  <si>
    <t xml:space="preserve">Implement mandatory background checks for all roles accessing production data. Partner with BGVS provider.</t>
  </si>
  <si>
    <t xml:space="preserve">HR</t>
  </si>
  <si>
    <t xml:space="preserve">R-21</t>
  </si>
  <si>
    <t xml:space="preserve">Physical Security</t>
  </si>
  <si>
    <t xml:space="preserve">No Clean Desk / Visitor Access Policy</t>
  </si>
  <si>
    <t xml:space="preserve">Office environment has no clean desk policy and visitors are not escorted, risking physical access to sensitive systems.</t>
  </si>
  <si>
    <t xml:space="preserve">Unauthorized access to unlocked workstations; shoulder surfing; physical document theft.</t>
  </si>
  <si>
    <t xml:space="preserve">A.7.7 – Clear Desk and Clear Screen</t>
  </si>
  <si>
    <t xml:space="preserve">Implement clean desk policy. Enforce visitor badge system. Train all staff. Conduct quarterly physical audits.</t>
  </si>
  <si>
    <t xml:space="preserve">Office Manager + CISO</t>
  </si>
  <si>
    <t xml:space="preserve">R-22</t>
  </si>
  <si>
    <t xml:space="preserve">Change Management</t>
  </si>
  <si>
    <t xml:space="preserve">No Formal Change Management Process</t>
  </si>
  <si>
    <t xml:space="preserve">Developers push code changes to production without formal change request, review, or rollback plan in place.</t>
  </si>
  <si>
    <t xml:space="preserve">Production outages from untested changes; introduction of security vulnerabilities; audit failures.</t>
  </si>
  <si>
    <t xml:space="preserve">A.8.32 – Change Management</t>
  </si>
  <si>
    <t xml:space="preserve">Implement formal CAB process. Require peer review and security sign-off for all production changes. Use GitOps workflow.</t>
  </si>
  <si>
    <t xml:space="preserve">Engineering Lead</t>
  </si>
  <si>
    <t xml:space="preserve">SECURITY POLICY FRAMEWORK — NovaTech SaaS Pvt. Ltd.</t>
  </si>
  <si>
    <t xml:space="preserve">8 Security Policies · ISO 27001:2022 Aligned · May 2026</t>
  </si>
  <si>
    <t xml:space="preserve">Policy ID</t>
  </si>
  <si>
    <t xml:space="preserve">Policy Name</t>
  </si>
  <si>
    <t xml:space="preserve">ISO Clause
/ Annex A</t>
  </si>
  <si>
    <t xml:space="preserve">Policy Statement (Summary)</t>
  </si>
  <si>
    <t xml:space="preserve">Key Requirements</t>
  </si>
  <si>
    <t xml:space="preserve">Policy Owner</t>
  </si>
  <si>
    <t xml:space="preserve">Review
Cycle</t>
  </si>
  <si>
    <t xml:space="preserve">Status</t>
  </si>
  <si>
    <t xml:space="preserve">POL-01</t>
  </si>
  <si>
    <t xml:space="preserve">Information Security Policy</t>
  </si>
  <si>
    <t xml:space="preserve">Cl. 5.2 / A.5.1</t>
  </si>
  <si>
    <t xml:space="preserve">NovaTech is committed to protecting the confidentiality, integrity, and availability of all information assets. This policy sets the overall direction for information security management.</t>
  </si>
  <si>
    <t xml:space="preserve">• Annual review by CISO
• Approved by Board
• Communicated to all staff
• Exceptions require written approval</t>
  </si>
  <si>
    <t xml:space="preserve">Active</t>
  </si>
  <si>
    <t xml:space="preserve">POL-02</t>
  </si>
  <si>
    <t xml:space="preserve">Access Control &amp; Identity Management Policy</t>
  </si>
  <si>
    <t xml:space="preserve">A.5.15 / A.8.2 / A.8.5</t>
  </si>
  <si>
    <t xml:space="preserve">All access to NovaTech systems must be granted on a need-to-know, least-privilege basis. MFA is mandatory for all users. Access is reviewed quarterly.</t>
  </si>
  <si>
    <t xml:space="preserve">• Unique accounts per user; no sharing
• MFA mandatory for all roles
• Privileged access via PAM only
• Quarterly access review</t>
  </si>
  <si>
    <t xml:space="preserve">IT Security Lead</t>
  </si>
  <si>
    <t xml:space="preserve">POL-03</t>
  </si>
  <si>
    <t xml:space="preserve">Data Classification &amp; Handling Policy</t>
  </si>
  <si>
    <t xml:space="preserve">A.5.12 / A.5.13</t>
  </si>
  <si>
    <t xml:space="preserve">All data assets must be classified into one of four tiers: Public, Internal, Confidential, or Restricted. Handling rules apply based on classification.</t>
  </si>
  <si>
    <t xml:space="preserve">• 4-tier classification scheme
• Labelling required on all documents
• Encryption mandatory for Confidential+
• Restricted data — need-to-know only</t>
  </si>
  <si>
    <t xml:space="preserve">POL-04</t>
  </si>
  <si>
    <t xml:space="preserve">Cryptography &amp; Encryption Policy</t>
  </si>
  <si>
    <t xml:space="preserve">A.8.24</t>
  </si>
  <si>
    <t xml:space="preserve">All sensitive data at rest must use AES-256 encryption. All data in transit must use TLS 1.2 or higher. Cryptographic keys are managed via a dedicated KMS.</t>
  </si>
  <si>
    <t xml:space="preserve">• AES-256 for data at rest
• TLS 1.2+ for data in transit
• Key rotation every 365 days
• HSM for critical key storage</t>
  </si>
  <si>
    <t xml:space="preserve">Cloud Security Lead</t>
  </si>
  <si>
    <t xml:space="preserve">POL-05</t>
  </si>
  <si>
    <t xml:space="preserve">Acceptable Use Policy (AUP)</t>
  </si>
  <si>
    <t xml:space="preserve">A.5.10 / A.6.2</t>
  </si>
  <si>
    <t xml:space="preserve">NovaTech assets (devices, systems, internet access) must be used for business purposes only. Personal use is limited and must not create security risks.</t>
  </si>
  <si>
    <t xml:space="preserve">• No unauthorized software installation
• No access to prohibited websites
• BYOD requires MDM enrollment
• Violations may lead to disciplinary action</t>
  </si>
  <si>
    <t xml:space="preserve">POL-06</t>
  </si>
  <si>
    <t xml:space="preserve">Vendor &amp; Third-Party Risk Policy</t>
  </si>
  <si>
    <t xml:space="preserve">A.5.19 / A.5.20</t>
  </si>
  <si>
    <t xml:space="preserve">All third-party vendors accessing NovaTech data or systems must undergo annual risk assessment. Security clauses must be included in all vendor contracts.</t>
  </si>
  <si>
    <t xml:space="preserve">• Tier-1 vendors: annual full assessment
• SOC 2 / ISO 27001 certification required
• Security annex in all contracts
• Right-to-audit clause mandatory</t>
  </si>
  <si>
    <t xml:space="preserve">POL-07</t>
  </si>
  <si>
    <t xml:space="preserve">Incident Response Policy</t>
  </si>
  <si>
    <t xml:space="preserve">A.5.24 / A.5.25 / A.5.26</t>
  </si>
  <si>
    <t xml:space="preserve">All information security incidents must be reported, triaged, and managed through the defined Incident Response Process. GDPR breach notification within 72 hours.</t>
  </si>
  <si>
    <t xml:space="preserve">• Report all incidents within 1 hour
• Severity classification: P1–P4
• CSIRT leads all P1/P2 incidents
• Post-incident review mandatory</t>
  </si>
  <si>
    <t xml:space="preserve">POL-08</t>
  </si>
  <si>
    <t xml:space="preserve">Secure Software Development Policy</t>
  </si>
  <si>
    <t xml:space="preserve">A.8.25 / A.8.28 / A.8.29</t>
  </si>
  <si>
    <t xml:space="preserve">All software development must follow secure coding guidelines. Security testing (SAST/DAST) is mandatory in the CI/CD pipeline before production deployment.</t>
  </si>
  <si>
    <t xml:space="preserve">• OWASP Top 10 training for all devs
• SAST scan on every pull request
• DAST in staging before production
• Annual third-party penetration test</t>
  </si>
  <si>
    <t xml:space="preserve">INCIDENT RESPONSE PLAYBOOKS — NovaTech SaaS Pvt. Ltd.</t>
  </si>
  <si>
    <t xml:space="preserve">5 IR Scenarios · PICERL Framework (Prepare–Identify–Contain–Eradicate–Recover–Lessons) · ISO A.5.24-26</t>
  </si>
  <si>
    <t xml:space="preserve">IR-ID</t>
  </si>
  <si>
    <t xml:space="preserve">Incident Type</t>
  </si>
  <si>
    <t xml:space="preserve">Severity</t>
  </si>
  <si>
    <t xml:space="preserve">RTO Target</t>
  </si>
  <si>
    <t xml:space="preserve">Detection &amp; Identification</t>
  </si>
  <si>
    <t xml:space="preserve">Containment Actions</t>
  </si>
  <si>
    <t xml:space="preserve">Eradication &amp; Recovery</t>
  </si>
  <si>
    <t xml:space="preserve">Communication Plan</t>
  </si>
  <si>
    <t xml:space="preserve">Lessons Learned</t>
  </si>
  <si>
    <t xml:space="preserve">IR-01</t>
  </si>
  <si>
    <t xml:space="preserve">Data Breach — PII Exfiltration</t>
  </si>
  <si>
    <t xml:space="preserve">P1 — Critical</t>
  </si>
  <si>
    <t xml:space="preserve">4 Hours</t>
  </si>
  <si>
    <t xml:space="preserve">SIEM alert on anomalous data egress. DLP tool flags bulk download. User behavior analytics detects after-hours access.</t>
  </si>
  <si>
    <t xml:space="preserve">1. Isolate affected systems immediately
2. Revoke compromised credentials
3. Block outbound IPs identified
4. Preserve forensic evidence
5. Notify CISO within 30 minutes</t>
  </si>
  <si>
    <t xml:space="preserve">1. Identify scope of data accessed
2. Remove malware / close access vector
3. Force password reset for all users
4. Restore from clean backup if needed
5. Vulnerability patched before reconnection</t>
  </si>
  <si>
    <t xml:space="preserve">• CEO + CISO notified within 1 hr
• Legal counsel engaged immediately
• GDPR DPA notified within 72 hrs
• Customer notification if data exposed
• Press statement if public impact</t>
  </si>
  <si>
    <t xml:space="preserve">• Root cause documented
• Control gaps identified
• IR playbook updated
• Staff retraining if social engineering
• Board briefing within 30 days</t>
  </si>
  <si>
    <t xml:space="preserve">IR-02</t>
  </si>
  <si>
    <t xml:space="preserve">8 Hours</t>
  </si>
  <si>
    <t xml:space="preserve">EDR detects mass file encryption. Help desk receives user reports of inaccessible files. Network traffic anomaly detected.</t>
  </si>
  <si>
    <t xml:space="preserve">1. Immediately isolate infected endpoints from network
2. Disable affected cloud services
3. Block ransomware C2 IP ranges
4. Preserve encrypted evidence
5. Do NOT pay ransom without legal consultation</t>
  </si>
  <si>
    <t xml:space="preserve">1. Determine ransomware variant and vector
2. Wipe and rebuild all infected systems from scratch
3. Restore from verified clean backup
4. Patch initial infection vector
5. Validate integrity of restored systems</t>
  </si>
  <si>
    <t xml:space="preserve">• Internal comms: all staff notified via SMS broadcast
• Customers: proactive status page update
• Regulators if data involved
• Cyber insurance provider notified</t>
  </si>
  <si>
    <t xml:space="preserve">• Full timeline reconstruction
• Phishing simulation if initial vector
• Backup restoration time documented
• Insurance claim review
• Technology upgrade recommendations</t>
  </si>
  <si>
    <t xml:space="preserve">IR-03</t>
  </si>
  <si>
    <t xml:space="preserve">Unauthorized Access — Insider Threat</t>
  </si>
  <si>
    <t xml:space="preserve">P2 — High</t>
  </si>
  <si>
    <t xml:space="preserve">6 Hours</t>
  </si>
  <si>
    <t xml:space="preserve">UBA tool flags unusual data access pattern. DLP alert on bulk email attachment. After-hours login from internal IP.</t>
  </si>
  <si>
    <t xml:space="preserve">1. Silently monitor before alerting suspect
2. Revoke access remotely without warning
3. Preserve all logs and evidence
4. Secure the employee's workstation
5. HR and Legal notified</t>
  </si>
  <si>
    <t xml:space="preserve">1. Full forensic image of workstation
2. Review all data accessed in past 90 days
3. Notify affected customers if data exported
4. Reinstate access controls
5. Audit all privileged accounts</t>
  </si>
  <si>
    <t xml:space="preserve">• HR + Legal lead communications
• Law enforcement if criminal activity suspected
• Executives briefed confidentially
• Customer notification only if data confirmed exposed</t>
  </si>
  <si>
    <t xml:space="preserve">• Review hiring &amp; offboarding process
• Access control gaps documented
• PAM solution evaluation
• Background check policy reviewed</t>
  </si>
  <si>
    <t xml:space="preserve">IR-04</t>
  </si>
  <si>
    <t xml:space="preserve">Service Outage — Cloud Infrastructure Failure</t>
  </si>
  <si>
    <t xml:space="preserve">Monitoring alerts: platform response time &gt; 5s. Customer support tickets spike. Cloud provider status page shows regional issue.</t>
  </si>
  <si>
    <t xml:space="preserve">1. Confirm outage scope via monitoring dashboard
2. Activate runbook for cloud failover
3. Engage cloud vendor support (Priority ticket)
4. Assess impact on customer SLAs</t>
  </si>
  <si>
    <t xml:space="preserve">1. Trigger failover to DR region if RTO at risk
2. Scale up redundant infrastructure
3. Restore services in priority order
4. Validate data integrity post-restoration
5. Conduct smoke tests</t>
  </si>
  <si>
    <t xml:space="preserve">• Status page updated within 15 minutes
• Customer email notification at 30 minutes
• Social media acknowledgment if widespread
• SLA breach notification to enterprise clients</t>
  </si>
  <si>
    <t xml:space="preserve">• Infrastructure resilience gaps reviewed
• SLA credit process initiated
• DR plan updated with lessons learned
• Multi-region strategy evaluated</t>
  </si>
  <si>
    <t xml:space="preserve">IR-05</t>
  </si>
  <si>
    <t xml:space="preserve">Phishing Attack — Credential Compromise</t>
  </si>
  <si>
    <t xml:space="preserve">2 Hours</t>
  </si>
  <si>
    <t xml:space="preserve">User self-reports suspicious email. Email security gateway flags mass phishing campaign. Unusual login attempts detected in SIEM.</t>
  </si>
  <si>
    <t xml:space="preserve">1. Quarantine and remove phishing emails from all mailboxes
2. Reset compromised user credentials immediately
3. Block sender domain / IP at email gateway
4. Identify all users who clicked</t>
  </si>
  <si>
    <t xml:space="preserve">1. Force MFA re-enrollment for affected users
2. Review all actions taken by compromised accounts
3. Revoke active sessions for affected accounts
4. Scan for malware on user endpoints
5. Block malicious URLs company-wide</t>
  </si>
  <si>
    <t xml:space="preserve">• Alert all staff via email + Slack within 30 mins
• IT helpdesk call to all credential-reset users
• CISO briefed within 1 hour
• Legal if customer data accessed</t>
  </si>
  <si>
    <t xml:space="preserve">• Phishing simulation for all staff within 2 weeks
• Email filtering rules updated
• Security awareness training reinforced
• MFA enforcement reviewed</t>
  </si>
  <si>
    <t xml:space="preserve">ISO/IEC 27001:2022 CONTROL MAPPING — All 22 Risks</t>
  </si>
  <si>
    <t xml:space="preserve">Annex A Control Mapping · Control Types · Implementation Notes</t>
  </si>
  <si>
    <t xml:space="preserve">ISO 27001 Control</t>
  </si>
  <si>
    <t xml:space="preserve">Annex A Ref.</t>
  </si>
  <si>
    <t xml:space="preserve">Control Type</t>
  </si>
  <si>
    <t xml:space="preserve">Control Status</t>
  </si>
  <si>
    <t xml:space="preserve">Implementation Notes</t>
  </si>
  <si>
    <t xml:space="preserve">Protection Against Malware</t>
  </si>
  <si>
    <t xml:space="preserve">A.8.7</t>
  </si>
  <si>
    <t xml:space="preserve">Preventive</t>
  </si>
  <si>
    <t xml:space="preserve">Implement</t>
  </si>
  <si>
    <t xml:space="preserve">EDR + immutable backup + patch management SLA</t>
  </si>
  <si>
    <t xml:space="preserve">SQL Injection Attack</t>
  </si>
  <si>
    <t xml:space="preserve">Security Testing in Development</t>
  </si>
  <si>
    <t xml:space="preserve">A.8.29</t>
  </si>
  <si>
    <t xml:space="preserve">Detective</t>
  </si>
  <si>
    <t xml:space="preserve">WAF + SAST/DAST in CI/CD pipeline</t>
  </si>
  <si>
    <t xml:space="preserve">Insider Threat</t>
  </si>
  <si>
    <t xml:space="preserve">IS Awareness, Education &amp; Training</t>
  </si>
  <si>
    <t xml:space="preserve">A.6.3</t>
  </si>
  <si>
    <t xml:space="preserve">In Progress</t>
  </si>
  <si>
    <t xml:space="preserve">UBA + DLP + background checks + monitoring</t>
  </si>
  <si>
    <t xml:space="preserve">DDoS Attack</t>
  </si>
  <si>
    <t xml:space="preserve">Redundancy of Information Processing</t>
  </si>
  <si>
    <t xml:space="preserve">A.8.14</t>
  </si>
  <si>
    <t xml:space="preserve">CDN-based DDoS mitigation + BCP activation</t>
  </si>
  <si>
    <t xml:space="preserve">Secure Authentication</t>
  </si>
  <si>
    <t xml:space="preserve">A.8.5</t>
  </si>
  <si>
    <t xml:space="preserve">Password complexity enforcement + MFA mandate</t>
  </si>
  <si>
    <t xml:space="preserve">IAM Misconfiguration</t>
  </si>
  <si>
    <t xml:space="preserve">Privileged Access Rights</t>
  </si>
  <si>
    <t xml:space="preserve">A.8.2</t>
  </si>
  <si>
    <t xml:space="preserve">IAM audit + least privilege + boundary policies</t>
  </si>
  <si>
    <t xml:space="preserve">Shared Accounts</t>
  </si>
  <si>
    <t xml:space="preserve">Identity Management</t>
  </si>
  <si>
    <t xml:space="preserve">A.5.16</t>
  </si>
  <si>
    <t xml:space="preserve">Eliminate shared accounts + PAM solution</t>
  </si>
  <si>
    <t xml:space="preserve">Use of Cryptography</t>
  </si>
  <si>
    <t xml:space="preserve">AES-256 + TDE + KMS key management</t>
  </si>
  <si>
    <t xml:space="preserve">Information Leakage</t>
  </si>
  <si>
    <t xml:space="preserve">A.8.12</t>
  </si>
  <si>
    <t xml:space="preserve">Log scrubbing + PII masking library</t>
  </si>
  <si>
    <t xml:space="preserve">No Data Classification</t>
  </si>
  <si>
    <t xml:space="preserve">Classification of Information</t>
  </si>
  <si>
    <t xml:space="preserve">A.5.12</t>
  </si>
  <si>
    <t xml:space="preserve">4-tier classification + labelling policy</t>
  </si>
  <si>
    <t xml:space="preserve">Privacy and Protection of PII</t>
  </si>
  <si>
    <t xml:space="preserve">A.5.34</t>
  </si>
  <si>
    <t xml:space="preserve">Corrective</t>
  </si>
  <si>
    <t xml:space="preserve">DPO appointment + DPIA + 72-hr notification</t>
  </si>
  <si>
    <t xml:space="preserve">No SOC 2 Type II</t>
  </si>
  <si>
    <t xml:space="preserve">Compliance with Policies</t>
  </si>
  <si>
    <t xml:space="preserve">A.5.36</t>
  </si>
  <si>
    <t xml:space="preserve">Planned</t>
  </si>
  <si>
    <t xml:space="preserve">SOC 2 readiness + 12-month roadmap</t>
  </si>
  <si>
    <t xml:space="preserve">Inadequate Audit Logging</t>
  </si>
  <si>
    <t xml:space="preserve">Logging</t>
  </si>
  <si>
    <t xml:space="preserve">A.8.15</t>
  </si>
  <si>
    <t xml:space="preserve">SIEM + 13-month retention + tamper-proof</t>
  </si>
  <si>
    <t xml:space="preserve">Vendor Risk Not Assessed</t>
  </si>
  <si>
    <t xml:space="preserve">IS in Supplier Relationships</t>
  </si>
  <si>
    <t xml:space="preserve">A.5.19</t>
  </si>
  <si>
    <t xml:space="preserve">Annual vendor assessment + tiering model</t>
  </si>
  <si>
    <t xml:space="preserve">IS in Supplier Agreements</t>
  </si>
  <si>
    <t xml:space="preserve">A.5.20</t>
  </si>
  <si>
    <t xml:space="preserve">Standard security annex + audit rights</t>
  </si>
  <si>
    <t xml:space="preserve">No DR Plan</t>
  </si>
  <si>
    <t xml:space="preserve">ICT Readiness for BC</t>
  </si>
  <si>
    <t xml:space="preserve">A.5.30</t>
  </si>
  <si>
    <t xml:space="preserve">DR plan + multi-region failover + annual test</t>
  </si>
  <si>
    <t xml:space="preserve">Database SPOF</t>
  </si>
  <si>
    <t xml:space="preserve">Redundancy of IT Processing</t>
  </si>
  <si>
    <t xml:space="preserve">Multi-node cluster + auto-failover</t>
  </si>
  <si>
    <t xml:space="preserve">Backup Untested</t>
  </si>
  <si>
    <t xml:space="preserve">Information Backup</t>
  </si>
  <si>
    <t xml:space="preserve">A.8.13</t>
  </si>
  <si>
    <t xml:space="preserve">Quarterly restore test + immutable backup</t>
  </si>
  <si>
    <t xml:space="preserve">No Security Training</t>
  </si>
  <si>
    <t xml:space="preserve">IS Awareness &amp; Training</t>
  </si>
  <si>
    <t xml:space="preserve">Annual mandatory training + phishing sims</t>
  </si>
  <si>
    <t xml:space="preserve">No Background Checks</t>
  </si>
  <si>
    <t xml:space="preserve">Screening</t>
  </si>
  <si>
    <t xml:space="preserve">A.6.1</t>
  </si>
  <si>
    <t xml:space="preserve">Pre-employment background verification</t>
  </si>
  <si>
    <t xml:space="preserve">No Clean Desk Policy</t>
  </si>
  <si>
    <t xml:space="preserve">Clear Desk and Clear Screen</t>
  </si>
  <si>
    <t xml:space="preserve">A.7.7</t>
  </si>
  <si>
    <t xml:space="preserve">Clean desk policy + visitor management</t>
  </si>
  <si>
    <t xml:space="preserve">No Change Process</t>
  </si>
  <si>
    <t xml:space="preserve">A.8.32</t>
  </si>
  <si>
    <t xml:space="preserve">CAB process + GitOps + peer review</t>
  </si>
  <si>
    <t xml:space="preserve">EXECUTIVE RISK DASHBOARD — NovaTech SaaS Pvt. Ltd.</t>
  </si>
  <si>
    <t xml:space="preserve">GRC Implementation · ISO 27001:2022 · 22 Risks Identified · May 2026</t>
  </si>
  <si>
    <t xml:space="preserve">TOTAL RISKS</t>
  </si>
  <si>
    <t xml:space="preserve">CRITICAL</t>
  </si>
  <si>
    <t xml:space="preserve">HIGH</t>
  </si>
  <si>
    <t xml:space="preserve">MEDIUM</t>
  </si>
  <si>
    <t xml:space="preserve">LOW</t>
  </si>
  <si>
    <t xml:space="preserve">POLICIES</t>
  </si>
  <si>
    <t xml:space="preserve">IR PLAYBOOKS</t>
  </si>
  <si>
    <t xml:space="preserve">RISK DISTRIBUTION BY DOMAIN</t>
  </si>
  <si>
    <t xml:space="preserve">CONTROL IMPLEMENTATION STATUS</t>
  </si>
  <si>
    <t xml:space="preserve">Total</t>
  </si>
  <si>
    <t xml:space="preserve">% of Total</t>
  </si>
  <si>
    <t xml:space="preserve">Count</t>
  </si>
  <si>
    <t xml:space="preserve">% Share</t>
  </si>
  <si>
    <t xml:space="preserve">Priority</t>
  </si>
  <si>
    <t xml:space="preserve">To Implement</t>
  </si>
  <si>
    <t xml:space="preserve">Immediate</t>
  </si>
  <si>
    <t xml:space="preserve">30-60 Days</t>
  </si>
  <si>
    <t xml:space="preserve">Complete</t>
  </si>
  <si>
    <t xml:space="preserve">Done</t>
  </si>
  <si>
    <t xml:space="preserve">TOTAL</t>
  </si>
  <si>
    <t xml:space="preserve">100%</t>
  </si>
  <si>
    <t xml:space="preserve">BC</t>
  </si>
  <si>
    <t xml:space="preserve">Physical</t>
  </si>
  <si>
    <t xml:space="preserve">Change Mgmt</t>
  </si>
</sst>
</file>

<file path=xl/styles.xml><?xml version="1.0" encoding="utf-8"?>
<styleSheet xmlns="http://schemas.openxmlformats.org/spreadsheetml/2006/main">
  <numFmts count="4">
    <numFmt numFmtId="164" formatCode="General"/>
    <numFmt numFmtId="165" formatCode="General"/>
    <numFmt numFmtId="166" formatCode="0%"/>
    <numFmt numFmtId="167" formatCode="0.00%"/>
  </numFmts>
  <fonts count="44">
    <font>
      <sz val="11"/>
      <color theme="1"/>
      <name val="Calibri"/>
      <family val="2"/>
      <charset val="1"/>
    </font>
    <font>
      <sz val="10"/>
      <name val="Arial"/>
      <family val="0"/>
    </font>
    <font>
      <sz val="10"/>
      <name val="Arial"/>
      <family val="0"/>
    </font>
    <font>
      <sz val="10"/>
      <name val="Arial"/>
      <family val="0"/>
    </font>
    <font>
      <b val="true"/>
      <sz val="20"/>
      <color rgb="FFFFFFFF"/>
      <name val="Calibri"/>
      <family val="0"/>
      <charset val="1"/>
    </font>
    <font>
      <i val="true"/>
      <sz val="11"/>
      <color rgb="FFFFFFFF"/>
      <name val="Calibri"/>
      <family val="0"/>
      <charset val="1"/>
    </font>
    <font>
      <b val="true"/>
      <sz val="9"/>
      <color rgb="FFFFFFFF"/>
      <name val="Calibri"/>
      <family val="0"/>
      <charset val="1"/>
    </font>
    <font>
      <sz val="9"/>
      <color rgb="FF1B3A6B"/>
      <name val="Calibri"/>
      <family val="0"/>
      <charset val="1"/>
    </font>
    <font>
      <b val="true"/>
      <sz val="10"/>
      <color rgb="FFFFFFFF"/>
      <name val="Calibri"/>
      <family val="0"/>
      <charset val="1"/>
    </font>
    <font>
      <sz val="9"/>
      <color rgb="FF495057"/>
      <name val="Calibri"/>
      <family val="0"/>
      <charset val="1"/>
    </font>
    <font>
      <i val="true"/>
      <sz val="8"/>
      <color rgb="FFFFFFFF"/>
      <name val="Calibri"/>
      <family val="0"/>
      <charset val="1"/>
    </font>
    <font>
      <b val="true"/>
      <sz val="14"/>
      <color rgb="FFFFFFFF"/>
      <name val="Calibri"/>
      <family val="0"/>
      <charset val="1"/>
    </font>
    <font>
      <i val="true"/>
      <sz val="9"/>
      <color rgb="FFFFFFFF"/>
      <name val="Calibri"/>
      <family val="0"/>
      <charset val="1"/>
    </font>
    <font>
      <sz val="9"/>
      <color rgb="FF0B7285"/>
      <name val="Calibri"/>
      <family val="0"/>
      <charset val="1"/>
    </font>
    <font>
      <sz val="9"/>
      <color rgb="FF6D28D9"/>
      <name val="Calibri"/>
      <family val="0"/>
      <charset val="1"/>
    </font>
    <font>
      <b val="true"/>
      <sz val="8"/>
      <color rgb="FFFFFFFF"/>
      <name val="Calibri"/>
      <family val="0"/>
      <charset val="1"/>
    </font>
    <font>
      <sz val="8"/>
      <color rgb="FF495057"/>
      <name val="Calibri"/>
      <family val="0"/>
      <charset val="1"/>
    </font>
    <font>
      <b val="true"/>
      <sz val="11"/>
      <color rgb="FFFFFFFF"/>
      <name val="Calibri"/>
      <family val="0"/>
      <charset val="1"/>
    </font>
    <font>
      <b val="true"/>
      <sz val="9"/>
      <name val="Calibri"/>
      <family val="0"/>
      <charset val="1"/>
    </font>
    <font>
      <sz val="9"/>
      <name val="Calibri"/>
      <family val="0"/>
      <charset val="1"/>
    </font>
    <font>
      <b val="true"/>
      <sz val="8"/>
      <color rgb="FF1B3A6B"/>
      <name val="Calibri"/>
      <family val="0"/>
      <charset val="1"/>
    </font>
    <font>
      <sz val="10"/>
      <color rgb="FF212529"/>
      <name val="Calibri"/>
      <family val="0"/>
      <charset val="1"/>
    </font>
    <font>
      <b val="true"/>
      <sz val="10"/>
      <color rgb="FF212529"/>
      <name val="Calibri"/>
      <family val="0"/>
      <charset val="1"/>
    </font>
    <font>
      <b val="true"/>
      <sz val="8"/>
      <color rgb="FF1B5E20"/>
      <name val="Calibri"/>
      <family val="0"/>
      <charset val="1"/>
    </font>
    <font>
      <b val="true"/>
      <sz val="8"/>
      <color rgb="FF6D28D9"/>
      <name val="Calibri"/>
      <family val="0"/>
      <charset val="1"/>
    </font>
    <font>
      <b val="true"/>
      <sz val="8"/>
      <color rgb="FF78350F"/>
      <name val="Calibri"/>
      <family val="0"/>
      <charset val="1"/>
    </font>
    <font>
      <b val="true"/>
      <sz val="8"/>
      <color rgb="FF6B21A8"/>
      <name val="Calibri"/>
      <family val="0"/>
      <charset val="1"/>
    </font>
    <font>
      <b val="true"/>
      <sz val="8"/>
      <color rgb="FF7F1D1D"/>
      <name val="Calibri"/>
      <family val="0"/>
      <charset val="1"/>
    </font>
    <font>
      <b val="true"/>
      <sz val="8"/>
      <color rgb="FF0369A1"/>
      <name val="Calibri"/>
      <family val="0"/>
      <charset val="1"/>
    </font>
    <font>
      <b val="true"/>
      <sz val="8"/>
      <color rgb="FF495057"/>
      <name val="Calibri"/>
      <family val="0"/>
      <charset val="1"/>
    </font>
    <font>
      <b val="true"/>
      <sz val="8"/>
      <color rgb="FF713F12"/>
      <name val="Calibri"/>
      <family val="0"/>
      <charset val="1"/>
    </font>
    <font>
      <b val="true"/>
      <sz val="9"/>
      <color rgb="FF2D9E5F"/>
      <name val="Calibri"/>
      <family val="0"/>
      <charset val="1"/>
    </font>
    <font>
      <b val="true"/>
      <sz val="8"/>
      <color rgb="FFB91C1C"/>
      <name val="Calibri"/>
      <family val="0"/>
      <charset val="1"/>
    </font>
    <font>
      <b val="true"/>
      <sz val="8"/>
      <color rgb="FFD97706"/>
      <name val="Calibri"/>
      <family val="0"/>
      <charset val="1"/>
    </font>
    <font>
      <b val="true"/>
      <sz val="8"/>
      <color rgb="FF2D9E5F"/>
      <name val="Calibri"/>
      <family val="0"/>
      <charset val="1"/>
    </font>
    <font>
      <b val="true"/>
      <sz val="15"/>
      <color rgb="FFFFFFFF"/>
      <name val="Calibri"/>
      <family val="0"/>
      <charset val="1"/>
    </font>
    <font>
      <i val="true"/>
      <sz val="10"/>
      <color rgb="FFFFFFFF"/>
      <name val="Calibri"/>
      <family val="0"/>
      <charset val="1"/>
    </font>
    <font>
      <b val="true"/>
      <sz val="0"/>
      <color rgb="FFFFFFFF"/>
      <name val="Calibri"/>
      <family val="0"/>
      <charset val="1"/>
    </font>
    <font>
      <b val="true"/>
      <sz val="8"/>
      <name val="Calibri"/>
      <family val="0"/>
      <charset val="1"/>
    </font>
    <font>
      <sz val="8"/>
      <name val="Calibri"/>
      <family val="0"/>
      <charset val="1"/>
    </font>
    <font>
      <sz val="8"/>
      <color rgb="FF212529"/>
      <name val="Calibri"/>
      <family val="0"/>
      <charset val="1"/>
    </font>
    <font>
      <b val="true"/>
      <sz val="18"/>
      <color rgb="FF000000"/>
      <name val="Calibri"/>
      <family val="2"/>
    </font>
    <font>
      <sz val="10"/>
      <color rgb="FF000000"/>
      <name val="Calibri"/>
      <family val="2"/>
    </font>
    <font>
      <b val="true"/>
      <sz val="10"/>
      <color rgb="FF000000"/>
      <name val="Calibri"/>
      <family val="2"/>
    </font>
  </fonts>
  <fills count="24">
    <fill>
      <patternFill patternType="none"/>
    </fill>
    <fill>
      <patternFill patternType="gray125"/>
    </fill>
    <fill>
      <patternFill patternType="solid">
        <fgColor rgb="FF0D1B2A"/>
        <bgColor rgb="FF212529"/>
      </patternFill>
    </fill>
    <fill>
      <patternFill patternType="solid">
        <fgColor rgb="FF4A7FC1"/>
        <bgColor rgb="FF4F81BD"/>
      </patternFill>
    </fill>
    <fill>
      <patternFill patternType="solid">
        <fgColor rgb="FF1B3A6B"/>
        <bgColor rgb="FF212529"/>
      </patternFill>
    </fill>
    <fill>
      <patternFill patternType="solid">
        <fgColor rgb="FFD6E8F7"/>
        <bgColor rgb="FFE0F2FE"/>
      </patternFill>
    </fill>
    <fill>
      <patternFill patternType="solid">
        <fgColor rgb="FF2563A8"/>
        <bgColor rgb="FF0369A1"/>
      </patternFill>
    </fill>
    <fill>
      <patternFill patternType="solid">
        <fgColor rgb="FFEBF4FC"/>
        <bgColor rgb="FFE0F2FE"/>
      </patternFill>
    </fill>
    <fill>
      <patternFill patternType="solid">
        <fgColor rgb="FF0B7285"/>
        <bgColor rgb="FF0369A1"/>
      </patternFill>
    </fill>
    <fill>
      <patternFill patternType="solid">
        <fgColor rgb="FF6D28D9"/>
        <bgColor rgb="FF6B21A8"/>
      </patternFill>
    </fill>
    <fill>
      <patternFill patternType="solid">
        <fgColor rgb="FFE9ECEF"/>
        <bgColor rgb="FFEDE9FE"/>
      </patternFill>
    </fill>
    <fill>
      <patternFill patternType="solid">
        <fgColor rgb="FFF8F9FA"/>
        <bgColor rgb="FFF9F9F9"/>
      </patternFill>
    </fill>
    <fill>
      <patternFill patternType="solid">
        <fgColor rgb="FFB91C1C"/>
        <bgColor rgb="FF7F1D1D"/>
      </patternFill>
    </fill>
    <fill>
      <patternFill patternType="solid">
        <fgColor rgb="FFEA580C"/>
        <bgColor rgb="FFD97706"/>
      </patternFill>
    </fill>
    <fill>
      <patternFill patternType="solid">
        <fgColor rgb="FFE8F5E9"/>
        <bgColor rgb="FFEBF4FC"/>
      </patternFill>
    </fill>
    <fill>
      <patternFill patternType="solid">
        <fgColor rgb="FFEDE9FE"/>
        <bgColor rgb="FFF3E8FF"/>
      </patternFill>
    </fill>
    <fill>
      <patternFill patternType="solid">
        <fgColor rgb="FFD97706"/>
        <bgColor rgb="FFDC853E"/>
      </patternFill>
    </fill>
    <fill>
      <patternFill patternType="solid">
        <fgColor rgb="FFFEF3C7"/>
        <bgColor rgb="FFFEF9C3"/>
      </patternFill>
    </fill>
    <fill>
      <patternFill patternType="solid">
        <fgColor rgb="FFF3E8FF"/>
        <bgColor rgb="FFEDE9FE"/>
      </patternFill>
    </fill>
    <fill>
      <patternFill patternType="solid">
        <fgColor rgb="FFFEE2E2"/>
        <bgColor rgb="FFF3E8FF"/>
      </patternFill>
    </fill>
    <fill>
      <patternFill patternType="solid">
        <fgColor rgb="FFE0F2FE"/>
        <bgColor rgb="FFEBF4FC"/>
      </patternFill>
    </fill>
    <fill>
      <patternFill patternType="solid">
        <fgColor rgb="FFFEF9C3"/>
        <bgColor rgb="FFFEF3C7"/>
      </patternFill>
    </fill>
    <fill>
      <patternFill patternType="solid">
        <fgColor rgb="FF2D9E5F"/>
        <bgColor rgb="FF4299B0"/>
      </patternFill>
    </fill>
    <fill>
      <patternFill patternType="solid">
        <fgColor rgb="FFD3F9E0"/>
        <bgColor rgb="FFE8F5E9"/>
      </patternFill>
    </fill>
  </fills>
  <borders count="17">
    <border diagonalUp="false" diagonalDown="false">
      <left/>
      <right/>
      <top/>
      <bottom/>
      <diagonal/>
    </border>
    <border diagonalUp="false" diagonalDown="false">
      <left style="thin">
        <color rgb="FFC0C0C0"/>
      </left>
      <right/>
      <top style="thin">
        <color rgb="FFC0C0C0"/>
      </top>
      <bottom style="thin">
        <color rgb="FFC0C0C0"/>
      </bottom>
      <diagonal/>
    </border>
    <border diagonalUp="false" diagonalDown="false">
      <left style="thin">
        <color rgb="FF2563A8"/>
      </left>
      <right/>
      <top style="thin">
        <color rgb="FF2563A8"/>
      </top>
      <bottom style="thin">
        <color rgb="FF2563A8"/>
      </bottom>
      <diagonal/>
    </border>
    <border diagonalUp="false" diagonalDown="false">
      <left style="medium">
        <color rgb="FF0D1B2A"/>
      </left>
      <right/>
      <top style="medium">
        <color rgb="FF0D1B2A"/>
      </top>
      <bottom style="medium">
        <color rgb="FF0D1B2A"/>
      </bottom>
      <diagonal/>
    </border>
    <border diagonalUp="false" diagonalDown="false">
      <left style="medium">
        <color rgb="FF1B3A6B"/>
      </left>
      <right/>
      <top style="medium">
        <color rgb="FF1B3A6B"/>
      </top>
      <bottom style="medium">
        <color rgb="FF1B3A6B"/>
      </bottom>
      <diagonal/>
    </border>
    <border diagonalUp="false" diagonalDown="false">
      <left style="medium">
        <color rgb="FF0B7285"/>
      </left>
      <right/>
      <top style="medium">
        <color rgb="FF0B7285"/>
      </top>
      <bottom style="medium">
        <color rgb="FF0B7285"/>
      </bottom>
      <diagonal/>
    </border>
    <border diagonalUp="false" diagonalDown="false">
      <left style="medium">
        <color rgb="FF6D28D9"/>
      </left>
      <right/>
      <top style="medium">
        <color rgb="FF6D28D9"/>
      </top>
      <bottom style="medium">
        <color rgb="FF6D28D9"/>
      </bottom>
      <diagonal/>
    </border>
    <border diagonalUp="false" diagonalDown="false">
      <left style="thin">
        <color rgb="FF1B3A6B"/>
      </left>
      <right/>
      <top style="thin">
        <color rgb="FF1B3A6B"/>
      </top>
      <bottom style="thin">
        <color rgb="FF1B3A6B"/>
      </bottom>
      <diagonal/>
    </border>
    <border diagonalUp="false" diagonalDown="false">
      <left style="thin">
        <color rgb="FF0B7285"/>
      </left>
      <right/>
      <top style="thin">
        <color rgb="FF0B7285"/>
      </top>
      <bottom style="thin">
        <color rgb="FF0B7285"/>
      </bottom>
      <diagonal/>
    </border>
    <border diagonalUp="false" diagonalDown="false">
      <left style="thin">
        <color rgb="FF6D28D9"/>
      </left>
      <right/>
      <top style="thin">
        <color rgb="FF6D28D9"/>
      </top>
      <bottom style="thin">
        <color rgb="FF6D28D9"/>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2563A8"/>
      </left>
      <right style="thin">
        <color rgb="FF2563A8"/>
      </right>
      <top style="thin">
        <color rgb="FF2563A8"/>
      </top>
      <bottom style="thin">
        <color rgb="FF2563A8"/>
      </bottom>
      <diagonal/>
    </border>
    <border diagonalUp="false" diagonalDown="false">
      <left style="thin">
        <color rgb="FF0D1B2A"/>
      </left>
      <right/>
      <top style="thin">
        <color rgb="FF0D1B2A"/>
      </top>
      <bottom style="thin">
        <color rgb="FF0D1B2A"/>
      </bottom>
      <diagonal/>
    </border>
    <border diagonalUp="false" diagonalDown="false">
      <left style="thin">
        <color rgb="FFB91C1C"/>
      </left>
      <right/>
      <top style="thin">
        <color rgb="FFB91C1C"/>
      </top>
      <bottom style="thin">
        <color rgb="FFB91C1C"/>
      </bottom>
      <diagonal/>
    </border>
    <border diagonalUp="false" diagonalDown="false">
      <left style="thin">
        <color rgb="FFEA580C"/>
      </left>
      <right/>
      <top style="thin">
        <color rgb="FFEA580C"/>
      </top>
      <bottom style="thin">
        <color rgb="FFEA580C"/>
      </bottom>
      <diagonal/>
    </border>
    <border diagonalUp="false" diagonalDown="false">
      <left style="thin">
        <color rgb="FFD97706"/>
      </left>
      <right/>
      <top style="thin">
        <color rgb="FFD97706"/>
      </top>
      <bottom style="thin">
        <color rgb="FFD97706"/>
      </bottom>
      <diagonal/>
    </border>
    <border diagonalUp="false" diagonalDown="false">
      <left style="thin">
        <color rgb="FF2D9E5F"/>
      </left>
      <right/>
      <top style="thin">
        <color rgb="FF2D9E5F"/>
      </top>
      <bottom style="thin">
        <color rgb="FF2D9E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center" vertical="center" textRotation="0" wrapText="true" indent="0" shrinkToFit="false"/>
      <protection locked="true" hidden="false"/>
    </xf>
    <xf numFmtId="164" fontId="5" fillId="3" borderId="0" xfId="0" applyFont="true" applyBorder="true" applyAlignment="true" applyProtection="true">
      <alignment horizontal="center" vertical="center" textRotation="0" wrapText="false" indent="0" shrinkToFit="false"/>
      <protection locked="true" hidden="false"/>
    </xf>
    <xf numFmtId="164" fontId="6" fillId="4" borderId="1" xfId="0" applyFont="true" applyBorder="true" applyAlignment="true" applyProtection="true">
      <alignment horizontal="right" vertical="center" textRotation="0" wrapText="false" indent="0" shrinkToFit="false"/>
      <protection locked="true" hidden="false"/>
    </xf>
    <xf numFmtId="164" fontId="7" fillId="5" borderId="1" xfId="0" applyFont="true" applyBorder="true" applyAlignment="true" applyProtection="true">
      <alignment horizontal="left" vertical="center" textRotation="0" wrapText="false" indent="0" shrinkToFit="false"/>
      <protection locked="true" hidden="false"/>
    </xf>
    <xf numFmtId="164" fontId="8" fillId="6" borderId="2" xfId="0" applyFont="true" applyBorder="true" applyAlignment="true" applyProtection="true">
      <alignment horizontal="center" vertical="center" textRotation="0" wrapText="false" indent="0" shrinkToFit="false"/>
      <protection locked="true" hidden="false"/>
    </xf>
    <xf numFmtId="164" fontId="9" fillId="7" borderId="1" xfId="0" applyFont="true" applyBorder="true" applyAlignment="true" applyProtection="true">
      <alignment horizontal="left" vertical="center" textRotation="0" wrapText="true" indent="0" shrinkToFit="false"/>
      <protection locked="true" hidden="false"/>
    </xf>
    <xf numFmtId="164" fontId="10" fillId="2" borderId="0" xfId="0" applyFont="true" applyBorder="true" applyAlignment="true" applyProtection="true">
      <alignment horizontal="center" vertical="center" textRotation="0" wrapText="false" indent="0" shrinkToFit="false"/>
      <protection locked="true" hidden="false"/>
    </xf>
    <xf numFmtId="164" fontId="11" fillId="2" borderId="3" xfId="0" applyFont="true" applyBorder="true" applyAlignment="true" applyProtection="true">
      <alignment horizontal="center" vertical="center" textRotation="0" wrapText="false" indent="0" shrinkToFit="false"/>
      <protection locked="true" hidden="false"/>
    </xf>
    <xf numFmtId="164" fontId="12" fillId="6" borderId="0" xfId="0" applyFont="true" applyBorder="true" applyAlignment="true" applyProtection="true">
      <alignment horizontal="center" vertical="center" textRotation="0" wrapText="false" indent="0" shrinkToFit="false"/>
      <protection locked="true" hidden="false"/>
    </xf>
    <xf numFmtId="164" fontId="8" fillId="4" borderId="4" xfId="0" applyFont="true" applyBorder="true" applyAlignment="true" applyProtection="true">
      <alignment horizontal="center" vertical="center" textRotation="0" wrapText="false" indent="0" shrinkToFit="false"/>
      <protection locked="true" hidden="false"/>
    </xf>
    <xf numFmtId="164" fontId="8" fillId="8" borderId="5" xfId="0" applyFont="true" applyBorder="true" applyAlignment="true" applyProtection="true">
      <alignment horizontal="center" vertical="center" textRotation="0" wrapText="false" indent="0" shrinkToFit="false"/>
      <protection locked="true" hidden="false"/>
    </xf>
    <xf numFmtId="164" fontId="8" fillId="9" borderId="6" xfId="0" applyFont="true" applyBorder="true" applyAlignment="true" applyProtection="true">
      <alignment horizontal="center" vertical="center" textRotation="0" wrapText="false" indent="0" shrinkToFit="false"/>
      <protection locked="true" hidden="false"/>
    </xf>
    <xf numFmtId="164" fontId="7" fillId="5" borderId="7" xfId="0" applyFont="true" applyBorder="true" applyAlignment="true" applyProtection="true">
      <alignment horizontal="left" vertical="center" textRotation="0" wrapText="false" indent="0" shrinkToFit="false"/>
      <protection locked="true" hidden="false"/>
    </xf>
    <xf numFmtId="164" fontId="13" fillId="5" borderId="8" xfId="0" applyFont="true" applyBorder="true" applyAlignment="true" applyProtection="true">
      <alignment horizontal="left" vertical="center" textRotation="0" wrapText="false" indent="0" shrinkToFit="false"/>
      <protection locked="true" hidden="false"/>
    </xf>
    <xf numFmtId="164" fontId="14" fillId="5" borderId="9" xfId="0" applyFont="true" applyBorder="true" applyAlignment="true" applyProtection="true">
      <alignment horizontal="left" vertical="center" textRotation="0" wrapText="false" indent="0" shrinkToFit="false"/>
      <protection locked="true" hidden="false"/>
    </xf>
    <xf numFmtId="164" fontId="7" fillId="7" borderId="7" xfId="0" applyFont="true" applyBorder="true" applyAlignment="true" applyProtection="true">
      <alignment horizontal="left" vertical="center" textRotation="0" wrapText="false" indent="0" shrinkToFit="false"/>
      <protection locked="true" hidden="false"/>
    </xf>
    <xf numFmtId="164" fontId="13" fillId="7" borderId="8" xfId="0" applyFont="true" applyBorder="true" applyAlignment="true" applyProtection="true">
      <alignment horizontal="left" vertical="center" textRotation="0" wrapText="false" indent="0" shrinkToFit="false"/>
      <protection locked="true" hidden="false"/>
    </xf>
    <xf numFmtId="164" fontId="14" fillId="7" borderId="9" xfId="0" applyFont="true" applyBorder="true" applyAlignment="true" applyProtection="true">
      <alignment horizontal="left" vertical="center" textRotation="0" wrapText="false" indent="0" shrinkToFit="false"/>
      <protection locked="true" hidden="false"/>
    </xf>
    <xf numFmtId="164" fontId="15" fillId="4" borderId="7" xfId="0" applyFont="true" applyBorder="true" applyAlignment="true" applyProtection="true">
      <alignment horizontal="center" vertical="center" textRotation="0" wrapText="false" indent="0" shrinkToFit="false"/>
      <protection locked="true" hidden="false"/>
    </xf>
    <xf numFmtId="164" fontId="15" fillId="8" borderId="8" xfId="0" applyFont="true" applyBorder="true" applyAlignment="true" applyProtection="true">
      <alignment horizontal="center" vertical="center" textRotation="0" wrapText="false" indent="0" shrinkToFit="false"/>
      <protection locked="true" hidden="false"/>
    </xf>
    <xf numFmtId="164" fontId="15" fillId="9" borderId="9" xfId="0" applyFont="true" applyBorder="true" applyAlignment="true" applyProtection="true">
      <alignment horizontal="center" vertical="center" textRotation="0" wrapText="false" indent="0" shrinkToFit="false"/>
      <protection locked="true" hidden="false"/>
    </xf>
    <xf numFmtId="164" fontId="16" fillId="10" borderId="1" xfId="0" applyFont="true" applyBorder="true" applyAlignment="true" applyProtection="true">
      <alignment horizontal="left" vertical="center" textRotation="0" wrapText="true" indent="0" shrinkToFit="false"/>
      <protection locked="true" hidden="false"/>
    </xf>
    <xf numFmtId="164" fontId="16" fillId="11" borderId="1" xfId="0" applyFont="true" applyBorder="true" applyAlignment="true" applyProtection="true">
      <alignment horizontal="left" vertical="center" textRotation="0" wrapText="true" indent="0" shrinkToFit="false"/>
      <protection locked="true" hidden="false"/>
    </xf>
    <xf numFmtId="164" fontId="17" fillId="4" borderId="3" xfId="0" applyFont="true" applyBorder="true" applyAlignment="true" applyProtection="true">
      <alignment horizontal="center" vertical="center" textRotation="0" wrapText="false" indent="0" shrinkToFit="false"/>
      <protection locked="true" hidden="false"/>
    </xf>
    <xf numFmtId="164" fontId="6" fillId="4" borderId="10" xfId="0" applyFont="true" applyBorder="true" applyAlignment="true" applyProtection="true">
      <alignment horizontal="left" vertical="center" textRotation="0" wrapText="true" indent="0" shrinkToFit="false"/>
      <protection locked="true" hidden="false"/>
    </xf>
    <xf numFmtId="164" fontId="6" fillId="4" borderId="10" xfId="0" applyFont="true" applyBorder="true" applyAlignment="true" applyProtection="true">
      <alignment horizontal="center" vertical="center" textRotation="0" wrapText="true" indent="0" shrinkToFit="false"/>
      <protection locked="true" hidden="false"/>
    </xf>
    <xf numFmtId="164" fontId="18" fillId="7" borderId="10" xfId="0" applyFont="true" applyBorder="true" applyAlignment="true" applyProtection="true">
      <alignment horizontal="left" vertical="center" textRotation="0" wrapText="true" indent="0" shrinkToFit="false"/>
      <protection locked="true" hidden="false"/>
    </xf>
    <xf numFmtId="164" fontId="19" fillId="7" borderId="10" xfId="0" applyFont="true" applyBorder="true" applyAlignment="true" applyProtection="true">
      <alignment horizontal="center" vertical="center" textRotation="0" wrapText="true" indent="0" shrinkToFit="false"/>
      <protection locked="true" hidden="false"/>
    </xf>
    <xf numFmtId="164" fontId="18" fillId="5" borderId="10" xfId="0" applyFont="true" applyBorder="true" applyAlignment="true" applyProtection="true">
      <alignment horizontal="left" vertical="center" textRotation="0" wrapText="true" indent="0" shrinkToFit="false"/>
      <protection locked="true" hidden="false"/>
    </xf>
    <xf numFmtId="164" fontId="19" fillId="5" borderId="10" xfId="0" applyFont="true" applyBorder="true" applyAlignment="true" applyProtection="true">
      <alignment horizontal="center" vertical="center" textRotation="0" wrapText="true" indent="0" shrinkToFit="false"/>
      <protection locked="true" hidden="false"/>
    </xf>
    <xf numFmtId="164" fontId="17" fillId="2" borderId="3" xfId="0" applyFont="true" applyBorder="true" applyAlignment="true" applyProtection="true">
      <alignment horizontal="center" vertical="center" textRotation="0" wrapText="false" indent="0" shrinkToFit="false"/>
      <protection locked="true" hidden="false"/>
    </xf>
    <xf numFmtId="164" fontId="12" fillId="3" borderId="0" xfId="0" applyFont="true" applyBorder="true" applyAlignment="true" applyProtection="true">
      <alignment horizontal="center" vertical="center" textRotation="0" wrapText="false" indent="0" shrinkToFit="false"/>
      <protection locked="true" hidden="false"/>
    </xf>
    <xf numFmtId="164" fontId="6" fillId="2" borderId="11" xfId="0" applyFont="true" applyBorder="true" applyAlignment="true" applyProtection="true">
      <alignment horizontal="center" vertical="center" textRotation="0" wrapText="true" indent="0" shrinkToFit="false"/>
      <protection locked="true" hidden="false"/>
    </xf>
    <xf numFmtId="164" fontId="6" fillId="2" borderId="10" xfId="0" applyFont="true" applyBorder="true" applyAlignment="true" applyProtection="true">
      <alignment horizontal="center" vertical="center" textRotation="0" wrapText="true" indent="0" shrinkToFit="false"/>
      <protection locked="true" hidden="false"/>
    </xf>
    <xf numFmtId="164" fontId="20" fillId="5" borderId="10" xfId="0" applyFont="true" applyBorder="true" applyAlignment="true" applyProtection="true">
      <alignment horizontal="left" vertical="center" textRotation="0" wrapText="true" indent="0" shrinkToFit="false"/>
      <protection locked="true" hidden="false"/>
    </xf>
    <xf numFmtId="164" fontId="16" fillId="5" borderId="10" xfId="0" applyFont="true" applyBorder="true" applyAlignment="true" applyProtection="true">
      <alignment horizontal="left" vertical="center" textRotation="0" wrapText="true" indent="0" shrinkToFit="false"/>
      <protection locked="true" hidden="false"/>
    </xf>
    <xf numFmtId="164" fontId="21" fillId="10" borderId="10" xfId="0" applyFont="true" applyBorder="true" applyAlignment="true" applyProtection="true">
      <alignment horizontal="center" vertical="center" textRotation="0" wrapText="true" indent="0" shrinkToFit="false"/>
      <protection locked="true" hidden="false"/>
    </xf>
    <xf numFmtId="165" fontId="22" fillId="10" borderId="10" xfId="0" applyFont="true" applyBorder="true" applyAlignment="true" applyProtection="true">
      <alignment horizontal="center" vertical="center" textRotation="0" wrapText="true" indent="0" shrinkToFit="false"/>
      <protection locked="true" hidden="false"/>
    </xf>
    <xf numFmtId="164" fontId="6" fillId="12" borderId="10" xfId="0" applyFont="true" applyBorder="true" applyAlignment="true" applyProtection="true">
      <alignment horizontal="center" vertical="center" textRotation="0" wrapText="true" indent="0" shrinkToFit="false"/>
      <protection locked="true" hidden="false"/>
    </xf>
    <xf numFmtId="164" fontId="16" fillId="5" borderId="10" xfId="0" applyFont="true" applyBorder="true" applyAlignment="true" applyProtection="true">
      <alignment horizontal="center" vertical="center" textRotation="0" wrapText="true" indent="0" shrinkToFit="false"/>
      <protection locked="true" hidden="false"/>
    </xf>
    <xf numFmtId="164" fontId="16" fillId="7" borderId="10" xfId="0" applyFont="true" applyBorder="true" applyAlignment="true" applyProtection="true">
      <alignment horizontal="left" vertical="center" textRotation="0" wrapText="true" indent="0" shrinkToFit="false"/>
      <protection locked="true" hidden="false"/>
    </xf>
    <xf numFmtId="164" fontId="16" fillId="7" borderId="10" xfId="0" applyFont="true" applyBorder="true" applyAlignment="true" applyProtection="true">
      <alignment horizontal="center" vertical="center" textRotation="0" wrapText="true" indent="0" shrinkToFit="false"/>
      <protection locked="true" hidden="false"/>
    </xf>
    <xf numFmtId="164" fontId="6" fillId="13" borderId="10" xfId="0" applyFont="true" applyBorder="true" applyAlignment="true" applyProtection="true">
      <alignment horizontal="center" vertical="center" textRotation="0" wrapText="true" indent="0" shrinkToFit="false"/>
      <protection locked="true" hidden="false"/>
    </xf>
    <xf numFmtId="164" fontId="23" fillId="14" borderId="10" xfId="0" applyFont="true" applyBorder="true" applyAlignment="true" applyProtection="true">
      <alignment horizontal="left" vertical="center" textRotation="0" wrapText="true" indent="0" shrinkToFit="false"/>
      <protection locked="true" hidden="false"/>
    </xf>
    <xf numFmtId="164" fontId="24" fillId="15" borderId="10" xfId="0" applyFont="true" applyBorder="true" applyAlignment="true" applyProtection="true">
      <alignment horizontal="left" vertical="center" textRotation="0" wrapText="true" indent="0" shrinkToFit="false"/>
      <protection locked="true" hidden="false"/>
    </xf>
    <xf numFmtId="164" fontId="6" fillId="16" borderId="10" xfId="0" applyFont="true" applyBorder="true" applyAlignment="true" applyProtection="true">
      <alignment horizontal="center" vertical="center" textRotation="0" wrapText="true" indent="0" shrinkToFit="false"/>
      <protection locked="true" hidden="false"/>
    </xf>
    <xf numFmtId="164" fontId="25" fillId="17" borderId="10" xfId="0" applyFont="true" applyBorder="true" applyAlignment="true" applyProtection="true">
      <alignment horizontal="left" vertical="center" textRotation="0" wrapText="true" indent="0" shrinkToFit="false"/>
      <protection locked="true" hidden="false"/>
    </xf>
    <xf numFmtId="164" fontId="26" fillId="18" borderId="10" xfId="0" applyFont="true" applyBorder="true" applyAlignment="true" applyProtection="true">
      <alignment horizontal="left" vertical="center" textRotation="0" wrapText="true" indent="0" shrinkToFit="false"/>
      <protection locked="true" hidden="false"/>
    </xf>
    <xf numFmtId="164" fontId="27" fillId="19" borderId="10" xfId="0" applyFont="true" applyBorder="true" applyAlignment="true" applyProtection="true">
      <alignment horizontal="left" vertical="center" textRotation="0" wrapText="true" indent="0" shrinkToFit="false"/>
      <protection locked="true" hidden="false"/>
    </xf>
    <xf numFmtId="164" fontId="28" fillId="20" borderId="10" xfId="0" applyFont="true" applyBorder="true" applyAlignment="true" applyProtection="true">
      <alignment horizontal="left" vertical="center" textRotation="0" wrapText="true" indent="0" shrinkToFit="false"/>
      <protection locked="true" hidden="false"/>
    </xf>
    <xf numFmtId="164" fontId="29" fillId="10" borderId="10" xfId="0" applyFont="true" applyBorder="true" applyAlignment="true" applyProtection="true">
      <alignment horizontal="left" vertical="center" textRotation="0" wrapText="true" indent="0" shrinkToFit="false"/>
      <protection locked="true" hidden="false"/>
    </xf>
    <xf numFmtId="164" fontId="30" fillId="21" borderId="10" xfId="0" applyFont="true" applyBorder="true" applyAlignment="true" applyProtection="true">
      <alignment horizontal="left" vertical="center" textRotation="0" wrapText="true" indent="0" shrinkToFit="false"/>
      <protection locked="true" hidden="false"/>
    </xf>
    <xf numFmtId="164" fontId="6" fillId="22" borderId="10" xfId="0" applyFont="true" applyBorder="true" applyAlignment="true" applyProtection="true">
      <alignment horizontal="center" vertical="center" textRotation="0" wrapText="true" indent="0" shrinkToFit="false"/>
      <protection locked="true" hidden="false"/>
    </xf>
    <xf numFmtId="164" fontId="6" fillId="2" borderId="10" xfId="0" applyFont="true" applyBorder="true" applyAlignment="true" applyProtection="true">
      <alignment horizontal="center" vertical="top" textRotation="0" wrapText="true" indent="0" shrinkToFit="false"/>
      <protection locked="true" hidden="false"/>
    </xf>
    <xf numFmtId="164" fontId="6" fillId="4" borderId="10" xfId="0" applyFont="true" applyBorder="true" applyAlignment="true" applyProtection="true">
      <alignment horizontal="left" vertical="top" textRotation="0" wrapText="true" indent="0" shrinkToFit="false"/>
      <protection locked="true" hidden="false"/>
    </xf>
    <xf numFmtId="164" fontId="6" fillId="12" borderId="10" xfId="0" applyFont="true" applyBorder="true" applyAlignment="true" applyProtection="true">
      <alignment horizontal="center" vertical="top" textRotation="0" wrapText="true" indent="0" shrinkToFit="false"/>
      <protection locked="true" hidden="false"/>
    </xf>
    <xf numFmtId="164" fontId="31" fillId="23" borderId="10" xfId="0" applyFont="true" applyBorder="true" applyAlignment="true" applyProtection="true">
      <alignment horizontal="center" vertical="top" textRotation="0" wrapText="true" indent="0" shrinkToFit="false"/>
      <protection locked="true" hidden="false"/>
    </xf>
    <xf numFmtId="164" fontId="16" fillId="5" borderId="10" xfId="0" applyFont="true" applyBorder="true" applyAlignment="true" applyProtection="true">
      <alignment horizontal="left" vertical="top" textRotation="0" wrapText="true" indent="0" shrinkToFit="false"/>
      <protection locked="true" hidden="false"/>
    </xf>
    <xf numFmtId="164" fontId="16" fillId="7" borderId="10" xfId="0" applyFont="true" applyBorder="true" applyAlignment="true" applyProtection="true">
      <alignment horizontal="left" vertical="top" textRotation="0" wrapText="true" indent="0" shrinkToFit="false"/>
      <protection locked="true" hidden="false"/>
    </xf>
    <xf numFmtId="164" fontId="6" fillId="13" borderId="10" xfId="0" applyFont="true" applyBorder="true" applyAlignment="true" applyProtection="true">
      <alignment horizontal="center" vertical="top" textRotation="0" wrapText="true" indent="0" shrinkToFit="false"/>
      <protection locked="true" hidden="false"/>
    </xf>
    <xf numFmtId="164" fontId="20" fillId="5" borderId="10" xfId="0" applyFont="true" applyBorder="true" applyAlignment="true" applyProtection="true">
      <alignment horizontal="center" vertical="center" textRotation="0" wrapText="true" indent="0" shrinkToFit="false"/>
      <protection locked="true" hidden="false"/>
    </xf>
    <xf numFmtId="164" fontId="32" fillId="19" borderId="10" xfId="0" applyFont="true" applyBorder="true" applyAlignment="true" applyProtection="true">
      <alignment horizontal="center" vertical="center" textRotation="0" wrapText="true" indent="0" shrinkToFit="false"/>
      <protection locked="true" hidden="false"/>
    </xf>
    <xf numFmtId="164" fontId="20" fillId="23" borderId="10" xfId="0" applyFont="true" applyBorder="true" applyAlignment="true" applyProtection="true">
      <alignment horizontal="center" vertical="center" textRotation="0" wrapText="true" indent="0" shrinkToFit="false"/>
      <protection locked="true" hidden="false"/>
    </xf>
    <xf numFmtId="164" fontId="33" fillId="17" borderId="10" xfId="0" applyFont="true" applyBorder="true" applyAlignment="true" applyProtection="true">
      <alignment horizontal="center" vertical="center" textRotation="0" wrapText="true" indent="0" shrinkToFit="false"/>
      <protection locked="true" hidden="false"/>
    </xf>
    <xf numFmtId="164" fontId="20" fillId="17" borderId="10" xfId="0" applyFont="true" applyBorder="true" applyAlignment="true" applyProtection="true">
      <alignment horizontal="center" vertical="center" textRotation="0" wrapText="true" indent="0" shrinkToFit="false"/>
      <protection locked="true" hidden="false"/>
    </xf>
    <xf numFmtId="164" fontId="34" fillId="23" borderId="10" xfId="0" applyFont="true" applyBorder="true" applyAlignment="true" applyProtection="true">
      <alignment horizontal="center" vertical="center" textRotation="0" wrapText="true" indent="0" shrinkToFit="false"/>
      <protection locked="true" hidden="false"/>
    </xf>
    <xf numFmtId="164" fontId="35" fillId="2" borderId="3" xfId="0" applyFont="true" applyBorder="true" applyAlignment="true" applyProtection="true">
      <alignment horizontal="center" vertical="center" textRotation="0" wrapText="false" indent="0" shrinkToFit="false"/>
      <protection locked="true" hidden="false"/>
    </xf>
    <xf numFmtId="164" fontId="36" fillId="3" borderId="0" xfId="0" applyFont="true" applyBorder="true" applyAlignment="true" applyProtection="true">
      <alignment horizontal="center" vertical="center" textRotation="0" wrapText="false" indent="0" shrinkToFit="false"/>
      <protection locked="true" hidden="false"/>
    </xf>
    <xf numFmtId="164" fontId="15" fillId="2" borderId="12" xfId="0" applyFont="true" applyBorder="true" applyAlignment="true" applyProtection="true">
      <alignment horizontal="center" vertical="center" textRotation="0" wrapText="false" indent="0" shrinkToFit="false"/>
      <protection locked="true" hidden="false"/>
    </xf>
    <xf numFmtId="164" fontId="15" fillId="12" borderId="13" xfId="0" applyFont="true" applyBorder="true" applyAlignment="true" applyProtection="true">
      <alignment horizontal="center" vertical="center" textRotation="0" wrapText="false" indent="0" shrinkToFit="false"/>
      <protection locked="true" hidden="false"/>
    </xf>
    <xf numFmtId="164" fontId="15" fillId="13" borderId="14" xfId="0" applyFont="true" applyBorder="true" applyAlignment="true" applyProtection="true">
      <alignment horizontal="center" vertical="center" textRotation="0" wrapText="false" indent="0" shrinkToFit="false"/>
      <protection locked="true" hidden="false"/>
    </xf>
    <xf numFmtId="164" fontId="15" fillId="16" borderId="15" xfId="0" applyFont="true" applyBorder="true" applyAlignment="true" applyProtection="true">
      <alignment horizontal="center" vertical="center" textRotation="0" wrapText="false" indent="0" shrinkToFit="false"/>
      <protection locked="true" hidden="false"/>
    </xf>
    <xf numFmtId="164" fontId="15" fillId="22" borderId="16" xfId="0" applyFont="true" applyBorder="true" applyAlignment="true" applyProtection="true">
      <alignment horizontal="center" vertical="center" textRotation="0" wrapText="false" indent="0" shrinkToFit="false"/>
      <protection locked="true" hidden="false"/>
    </xf>
    <xf numFmtId="164" fontId="4" fillId="2" borderId="12" xfId="0" applyFont="true" applyBorder="true" applyAlignment="true" applyProtection="true">
      <alignment horizontal="center" vertical="center" textRotation="0" wrapText="false" indent="0" shrinkToFit="false"/>
      <protection locked="true" hidden="false"/>
    </xf>
    <xf numFmtId="164" fontId="4" fillId="12" borderId="13" xfId="0" applyFont="true" applyBorder="true" applyAlignment="true" applyProtection="true">
      <alignment horizontal="center" vertical="center" textRotation="0" wrapText="false" indent="0" shrinkToFit="false"/>
      <protection locked="true" hidden="false"/>
    </xf>
    <xf numFmtId="164" fontId="4" fillId="13" borderId="14" xfId="0" applyFont="true" applyBorder="true" applyAlignment="true" applyProtection="true">
      <alignment horizontal="center" vertical="center" textRotation="0" wrapText="false" indent="0" shrinkToFit="false"/>
      <protection locked="true" hidden="false"/>
    </xf>
    <xf numFmtId="164" fontId="4" fillId="16" borderId="15" xfId="0" applyFont="true" applyBorder="true" applyAlignment="true" applyProtection="true">
      <alignment horizontal="center" vertical="center" textRotation="0" wrapText="false" indent="0" shrinkToFit="false"/>
      <protection locked="true" hidden="false"/>
    </xf>
    <xf numFmtId="164" fontId="4" fillId="22" borderId="16" xfId="0" applyFont="true" applyBorder="true" applyAlignment="true" applyProtection="true">
      <alignment horizontal="center" vertical="center" textRotation="0" wrapText="false" indent="0" shrinkToFit="false"/>
      <protection locked="true" hidden="false"/>
    </xf>
    <xf numFmtId="164" fontId="4" fillId="8" borderId="8" xfId="0" applyFont="true" applyBorder="true" applyAlignment="true" applyProtection="true">
      <alignment horizontal="center" vertical="center" textRotation="0" wrapText="false" indent="0" shrinkToFit="false"/>
      <protection locked="true" hidden="false"/>
    </xf>
    <xf numFmtId="164" fontId="4" fillId="9" borderId="9" xfId="0" applyFont="true" applyBorder="true" applyAlignment="true" applyProtection="true">
      <alignment horizontal="center" vertical="center" textRotation="0" wrapText="false" indent="0" shrinkToFit="false"/>
      <protection locked="true" hidden="false"/>
    </xf>
    <xf numFmtId="164" fontId="37" fillId="2" borderId="12" xfId="0" applyFont="true" applyBorder="true" applyAlignment="true" applyProtection="true">
      <alignment horizontal="center" vertical="center" textRotation="0" wrapText="false" indent="0" shrinkToFit="false"/>
      <protection locked="true" hidden="false"/>
    </xf>
    <xf numFmtId="164" fontId="37" fillId="12" borderId="13" xfId="0" applyFont="true" applyBorder="true" applyAlignment="true" applyProtection="true">
      <alignment horizontal="center" vertical="center" textRotation="0" wrapText="false" indent="0" shrinkToFit="false"/>
      <protection locked="true" hidden="false"/>
    </xf>
    <xf numFmtId="164" fontId="37" fillId="13" borderId="14" xfId="0" applyFont="true" applyBorder="true" applyAlignment="true" applyProtection="true">
      <alignment horizontal="center" vertical="center" textRotation="0" wrapText="false" indent="0" shrinkToFit="false"/>
      <protection locked="true" hidden="false"/>
    </xf>
    <xf numFmtId="164" fontId="37" fillId="16" borderId="15" xfId="0" applyFont="true" applyBorder="true" applyAlignment="true" applyProtection="true">
      <alignment horizontal="center" vertical="center" textRotation="0" wrapText="false" indent="0" shrinkToFit="false"/>
      <protection locked="true" hidden="false"/>
    </xf>
    <xf numFmtId="164" fontId="37" fillId="22" borderId="16" xfId="0" applyFont="true" applyBorder="true" applyAlignment="true" applyProtection="true">
      <alignment horizontal="center" vertical="center" textRotation="0" wrapText="false" indent="0" shrinkToFit="false"/>
      <protection locked="true" hidden="false"/>
    </xf>
    <xf numFmtId="164" fontId="37" fillId="8" borderId="8" xfId="0" applyFont="true" applyBorder="true" applyAlignment="true" applyProtection="true">
      <alignment horizontal="center" vertical="center" textRotation="0" wrapText="false" indent="0" shrinkToFit="false"/>
      <protection locked="true" hidden="false"/>
    </xf>
    <xf numFmtId="164" fontId="37" fillId="9" borderId="9" xfId="0" applyFont="true" applyBorder="true" applyAlignment="true" applyProtection="true">
      <alignment horizontal="center" vertical="center" textRotation="0" wrapText="false" indent="0" shrinkToFit="false"/>
      <protection locked="true" hidden="false"/>
    </xf>
    <xf numFmtId="164" fontId="8" fillId="4" borderId="1" xfId="0" applyFont="true" applyBorder="true" applyAlignment="true" applyProtection="true">
      <alignment horizontal="center" vertical="center" textRotation="0" wrapText="false" indent="0" shrinkToFit="false"/>
      <protection locked="true" hidden="false"/>
    </xf>
    <xf numFmtId="164" fontId="15" fillId="6" borderId="10" xfId="0" applyFont="true" applyBorder="true" applyAlignment="true" applyProtection="true">
      <alignment horizontal="center" vertical="center" textRotation="0" wrapText="false" indent="0" shrinkToFit="false"/>
      <protection locked="true" hidden="false"/>
    </xf>
    <xf numFmtId="164" fontId="38" fillId="7" borderId="10" xfId="0" applyFont="true" applyBorder="true" applyAlignment="true" applyProtection="true">
      <alignment horizontal="left" vertical="center" textRotation="0" wrapText="false" indent="0" shrinkToFit="false"/>
      <protection locked="true" hidden="false"/>
    </xf>
    <xf numFmtId="164" fontId="39" fillId="7" borderId="10" xfId="0" applyFont="true" applyBorder="true" applyAlignment="true" applyProtection="true">
      <alignment horizontal="center" vertical="center" textRotation="0" wrapText="false" indent="0" shrinkToFit="false"/>
      <protection locked="true" hidden="false"/>
    </xf>
    <xf numFmtId="166" fontId="39" fillId="7" borderId="10" xfId="0" applyFont="true" applyBorder="true" applyAlignment="true" applyProtection="true">
      <alignment horizontal="center" vertical="center" textRotation="0" wrapText="false" indent="0" shrinkToFit="false"/>
      <protection locked="true" hidden="false"/>
    </xf>
    <xf numFmtId="164" fontId="15" fillId="12" borderId="10" xfId="0" applyFont="true" applyBorder="true" applyAlignment="true" applyProtection="true">
      <alignment horizontal="center" vertical="center" textRotation="0" wrapText="false" indent="0" shrinkToFit="false"/>
      <protection locked="true" hidden="false"/>
    </xf>
    <xf numFmtId="164" fontId="40" fillId="7" borderId="10" xfId="0" applyFont="true" applyBorder="true" applyAlignment="true" applyProtection="true">
      <alignment horizontal="center" vertical="center" textRotation="0" wrapText="false" indent="0" shrinkToFit="false"/>
      <protection locked="true" hidden="false"/>
    </xf>
    <xf numFmtId="166" fontId="40" fillId="7" borderId="10" xfId="0" applyFont="true" applyBorder="true" applyAlignment="true" applyProtection="true">
      <alignment horizontal="center" vertical="center" textRotation="0" wrapText="false" indent="0" shrinkToFit="false"/>
      <protection locked="true" hidden="false"/>
    </xf>
    <xf numFmtId="164" fontId="38" fillId="5" borderId="10" xfId="0" applyFont="true" applyBorder="true" applyAlignment="true" applyProtection="true">
      <alignment horizontal="left" vertical="center" textRotation="0" wrapText="false" indent="0" shrinkToFit="false"/>
      <protection locked="true" hidden="false"/>
    </xf>
    <xf numFmtId="164" fontId="39" fillId="5" borderId="10" xfId="0" applyFont="true" applyBorder="true" applyAlignment="true" applyProtection="true">
      <alignment horizontal="center" vertical="center" textRotation="0" wrapText="false" indent="0" shrinkToFit="false"/>
      <protection locked="true" hidden="false"/>
    </xf>
    <xf numFmtId="166" fontId="39" fillId="5" borderId="10" xfId="0" applyFont="true" applyBorder="true" applyAlignment="true" applyProtection="true">
      <alignment horizontal="center" vertical="center" textRotation="0" wrapText="false" indent="0" shrinkToFit="false"/>
      <protection locked="true" hidden="false"/>
    </xf>
    <xf numFmtId="164" fontId="15" fillId="16" borderId="10" xfId="0" applyFont="true" applyBorder="true" applyAlignment="true" applyProtection="true">
      <alignment horizontal="center" vertical="center" textRotation="0" wrapText="false" indent="0" shrinkToFit="false"/>
      <protection locked="true" hidden="false"/>
    </xf>
    <xf numFmtId="164" fontId="40" fillId="5" borderId="10" xfId="0" applyFont="true" applyBorder="true" applyAlignment="true" applyProtection="true">
      <alignment horizontal="center" vertical="center" textRotation="0" wrapText="false" indent="0" shrinkToFit="false"/>
      <protection locked="true" hidden="false"/>
    </xf>
    <xf numFmtId="166" fontId="40" fillId="5" borderId="10" xfId="0" applyFont="true" applyBorder="true" applyAlignment="true" applyProtection="true">
      <alignment horizontal="center" vertical="center" textRotation="0" wrapText="false" indent="0" shrinkToFit="false"/>
      <protection locked="true" hidden="false"/>
    </xf>
    <xf numFmtId="164" fontId="15" fillId="8" borderId="10" xfId="0" applyFont="true" applyBorder="true" applyAlignment="true" applyProtection="true">
      <alignment horizontal="center" vertical="center" textRotation="0" wrapText="false" indent="0" shrinkToFit="false"/>
      <protection locked="true" hidden="false"/>
    </xf>
    <xf numFmtId="164" fontId="15" fillId="22" borderId="10" xfId="0" applyFont="true" applyBorder="true" applyAlignment="true" applyProtection="true">
      <alignment horizontal="center" vertical="center" textRotation="0" wrapText="false" indent="0" shrinkToFit="false"/>
      <protection locked="true" hidden="false"/>
    </xf>
    <xf numFmtId="164" fontId="6" fillId="4" borderId="10" xfId="0" applyFont="true" applyBorder="true" applyAlignment="true" applyProtection="true">
      <alignment horizontal="center" vertical="center" textRotation="0" wrapText="false" indent="0" shrinkToFit="false"/>
      <protection locked="true" hidden="false"/>
    </xf>
    <xf numFmtId="167" fontId="6" fillId="4" borderId="10" xfId="0" applyFont="true" applyBorder="true" applyAlignment="true" applyProtection="tru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E9ECEF"/>
      <rgbColor rgb="FFFF00FF"/>
      <rgbColor rgb="FFEBF4FC"/>
      <rgbColor rgb="FF7F1D1D"/>
      <rgbColor rgb="FF1B5E20"/>
      <rgbColor rgb="FF000080"/>
      <rgbColor rgb="FF4F81BD"/>
      <rgbColor rgb="FF6B21A8"/>
      <rgbColor rgb="FF0B7285"/>
      <rgbColor rgb="FFC0C0C0"/>
      <rgbColor rgb="FF878787"/>
      <rgbColor rgb="FF93A9CE"/>
      <rgbColor rgb="FFAB4744"/>
      <rgbColor rgb="FFFEF9C3"/>
      <rgbColor rgb="FFE0F2FE"/>
      <rgbColor rgb="FF660066"/>
      <rgbColor rgb="FFDC853E"/>
      <rgbColor rgb="FF0369A1"/>
      <rgbColor rgb="FFD9D9D9"/>
      <rgbColor rgb="FF000080"/>
      <rgbColor rgb="FFFF00FF"/>
      <rgbColor rgb="FFF9F9F9"/>
      <rgbColor rgb="FFF8F9FA"/>
      <rgbColor rgb="FF6D28D9"/>
      <rgbColor rgb="FF800000"/>
      <rgbColor rgb="FF4672A8"/>
      <rgbColor rgb="FF0000FF"/>
      <rgbColor rgb="FF4A7FC1"/>
      <rgbColor rgb="FFE8F5E9"/>
      <rgbColor rgb="FFD3F9E0"/>
      <rgbColor rgb="FFFEF3C7"/>
      <rgbColor rgb="FFB8CD97"/>
      <rgbColor rgb="FFD09493"/>
      <rgbColor rgb="FFD6E8F7"/>
      <rgbColor rgb="FFFEE2E2"/>
      <rgbColor rgb="FF2563A8"/>
      <rgbColor rgb="FF4299B0"/>
      <rgbColor rgb="FFEDE9FE"/>
      <rgbColor rgb="FFF3E8FF"/>
      <rgbColor rgb="FFD97706"/>
      <rgbColor rgb="FFEA580C"/>
      <rgbColor rgb="FF725990"/>
      <rgbColor rgb="FF8AA64F"/>
      <rgbColor rgb="FF1B3A6B"/>
      <rgbColor rgb="FF2D9E5F"/>
      <rgbColor rgb="FF0D1B2A"/>
      <rgbColor rgb="FF713F12"/>
      <rgbColor rgb="FF78350F"/>
      <rgbColor rgb="FFB91C1C"/>
      <rgbColor rgb="FF495057"/>
      <rgbColor rgb="FF212529"/>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Count by Severity Level</a:t>
            </a:r>
          </a:p>
        </c:rich>
      </c:tx>
      <c:overlay val="0"/>
      <c:spPr>
        <a:noFill/>
        <a:ln w="0">
          <a:noFill/>
        </a:ln>
      </c:spPr>
    </c:title>
    <c:autoTitleDeleted val="0"/>
    <c:plotArea>
      <c:barChart>
        <c:barDir val="col"/>
        <c:grouping val="clustered"/>
        <c:varyColors val="0"/>
        <c:ser>
          <c:idx val="0"/>
          <c:order val="0"/>
          <c:spPr>
            <a:solidFill>
              <a:srgbClr val="4f81bd"/>
            </a:solidFill>
            <a:ln w="9360">
              <a:solidFill>
                <a:srgbClr val="f9f9f9"/>
              </a:solidFill>
              <a:round/>
            </a:ln>
          </c:spPr>
          <c:invertIfNegative val="0"/>
          <c:dPt>
            <c:idx val="0"/>
            <c:invertIfNegative val="0"/>
            <c:spPr>
              <a:solidFill>
                <a:srgbClr val="b91c1c"/>
              </a:solidFill>
              <a:ln w="9360">
                <a:solidFill>
                  <a:srgbClr val="f9f9f9"/>
                </a:solidFill>
                <a:round/>
              </a:ln>
            </c:spPr>
          </c:dPt>
          <c:dPt>
            <c:idx val="1"/>
            <c:invertIfNegative val="0"/>
            <c:spPr>
              <a:solidFill>
                <a:srgbClr val="ea580c"/>
              </a:solidFill>
              <a:ln w="9360">
                <a:solidFill>
                  <a:srgbClr val="f9f9f9"/>
                </a:solidFill>
                <a:round/>
              </a:ln>
            </c:spPr>
          </c:dPt>
          <c:dPt>
            <c:idx val="2"/>
            <c:invertIfNegative val="0"/>
            <c:spPr>
              <a:solidFill>
                <a:srgbClr val="d97706"/>
              </a:solidFill>
              <a:ln w="9360">
                <a:solidFill>
                  <a:srgbClr val="f9f9f9"/>
                </a:solidFill>
                <a:round/>
              </a:ln>
            </c:spPr>
          </c:dPt>
          <c:dPt>
            <c:idx val="3"/>
            <c:invertIfNegative val="0"/>
            <c:spPr>
              <a:solidFill>
                <a:srgbClr val="2d9e5f"/>
              </a:solidFill>
              <a:ln w="9360">
                <a:solidFill>
                  <a:srgbClr val="f9f9f9"/>
                </a:solidFill>
                <a:round/>
              </a:ln>
            </c:spPr>
          </c:dPt>
          <c:dLbls>
            <c:dLbl>
              <c:idx val="0"/>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1"/>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2"/>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dLbl>
            <c:dLbl>
              <c:idx val="3"/>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dLbl>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Dashboard'!$B$23:$B$25</c:f>
              <c:strCache>
                <c:ptCount val="3"/>
                <c:pt idx="0">
                  <c:v>High</c:v>
                </c:pt>
                <c:pt idx="1">
                  <c:v>Medium</c:v>
                </c:pt>
                <c:pt idx="2">
                  <c:v>Low</c:v>
                </c:pt>
              </c:strCache>
            </c:strRef>
          </c:cat>
          <c:val>
            <c:numRef>
              <c:f>'Executive Dashboard'!$C$22:$C$25</c:f>
              <c:numCache>
                <c:formatCode>General</c:formatCode>
                <c:ptCount val="4"/>
                <c:pt idx="0">
                  <c:v>4</c:v>
                </c:pt>
                <c:pt idx="1">
                  <c:v>9</c:v>
                </c:pt>
                <c:pt idx="2">
                  <c:v>6</c:v>
                </c:pt>
                <c:pt idx="3">
                  <c:v>3</c:v>
                </c:pt>
              </c:numCache>
            </c:numRef>
          </c:val>
        </c:ser>
        <c:gapWidth val="150"/>
        <c:overlap val="0"/>
        <c:axId val="81334654"/>
        <c:axId val="76665418"/>
      </c:barChart>
      <c:catAx>
        <c:axId val="8133465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Severity</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665418"/>
        <c:crosses val="autoZero"/>
        <c:auto val="1"/>
        <c:lblAlgn val="ctr"/>
        <c:lblOffset val="100"/>
        <c:noMultiLvlLbl val="0"/>
      </c:catAx>
      <c:valAx>
        <c:axId val="766654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Number of Risks</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33465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Risk Distribution by Domain</a:t>
            </a:r>
          </a:p>
        </c:rich>
      </c:tx>
      <c:overlay val="0"/>
      <c:spPr>
        <a:noFill/>
        <a:ln w="0">
          <a:noFill/>
        </a:ln>
      </c:spPr>
    </c:title>
    <c:autoTitleDeleted val="0"/>
    <c:plotArea>
      <c:pieChart>
        <c:varyColors val="1"/>
        <c:ser>
          <c:idx val="0"/>
          <c:order val="0"/>
          <c:spPr>
            <a:solidFill>
              <a:srgbClr val="4f81bd"/>
            </a:solidFill>
            <a:ln w="9360">
              <a:solidFill>
                <a:srgbClr val="f9f9f9"/>
              </a:solidFill>
              <a:round/>
            </a:ln>
          </c:spPr>
          <c:explosion val="0"/>
          <c:dPt>
            <c:idx val="0"/>
            <c:spPr>
              <a:solidFill>
                <a:srgbClr val="4672a8"/>
              </a:solidFill>
              <a:ln w="9360">
                <a:solidFill>
                  <a:srgbClr val="f9f9f9"/>
                </a:solidFill>
                <a:round/>
              </a:ln>
            </c:spPr>
          </c:dPt>
          <c:dPt>
            <c:idx val="1"/>
            <c:spPr>
              <a:solidFill>
                <a:srgbClr val="ab4744"/>
              </a:solidFill>
              <a:ln w="9360">
                <a:solidFill>
                  <a:srgbClr val="f9f9f9"/>
                </a:solidFill>
                <a:round/>
              </a:ln>
            </c:spPr>
          </c:dPt>
          <c:dPt>
            <c:idx val="2"/>
            <c:spPr>
              <a:solidFill>
                <a:srgbClr val="8aa64f"/>
              </a:solidFill>
              <a:ln w="9360">
                <a:solidFill>
                  <a:srgbClr val="f9f9f9"/>
                </a:solidFill>
                <a:round/>
              </a:ln>
            </c:spPr>
          </c:dPt>
          <c:dPt>
            <c:idx val="3"/>
            <c:spPr>
              <a:solidFill>
                <a:srgbClr val="725990"/>
              </a:solidFill>
              <a:ln w="9360">
                <a:solidFill>
                  <a:srgbClr val="f9f9f9"/>
                </a:solidFill>
                <a:round/>
              </a:ln>
            </c:spPr>
          </c:dPt>
          <c:dPt>
            <c:idx val="4"/>
            <c:spPr>
              <a:solidFill>
                <a:srgbClr val="4299b0"/>
              </a:solidFill>
              <a:ln w="9360">
                <a:solidFill>
                  <a:srgbClr val="f9f9f9"/>
                </a:solidFill>
                <a:round/>
              </a:ln>
            </c:spPr>
          </c:dPt>
          <c:dPt>
            <c:idx val="5"/>
            <c:spPr>
              <a:solidFill>
                <a:srgbClr val="dc853e"/>
              </a:solidFill>
              <a:ln w="9360">
                <a:solidFill>
                  <a:srgbClr val="f9f9f9"/>
                </a:solidFill>
                <a:round/>
              </a:ln>
            </c:spPr>
          </c:dPt>
          <c:dPt>
            <c:idx val="6"/>
            <c:spPr>
              <a:solidFill>
                <a:srgbClr val="93a9ce"/>
              </a:solidFill>
              <a:ln w="9360">
                <a:solidFill>
                  <a:srgbClr val="f9f9f9"/>
                </a:solidFill>
                <a:round/>
              </a:ln>
            </c:spPr>
          </c:dPt>
          <c:dPt>
            <c:idx val="7"/>
            <c:spPr>
              <a:solidFill>
                <a:srgbClr val="d09493"/>
              </a:solidFill>
              <a:ln w="9360">
                <a:solidFill>
                  <a:srgbClr val="f9f9f9"/>
                </a:solidFill>
                <a:round/>
              </a:ln>
            </c:spPr>
          </c:dPt>
          <c:dPt>
            <c:idx val="8"/>
            <c:spPr>
              <a:solidFill>
                <a:srgbClr val="b8cd97"/>
              </a:solidFill>
              <a:ln w="9360">
                <a:solidFill>
                  <a:srgbClr val="f9f9f9"/>
                </a:solidFill>
                <a:round/>
              </a:ln>
            </c:spPr>
          </c:dPt>
          <c:dLbls>
            <c:dLbl>
              <c:idx val="0"/>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3"/>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4"/>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5"/>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6"/>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7"/>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8"/>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non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'Executive Dashboard'!$E$22:$E$30</c:f>
              <c:strCache>
                <c:ptCount val="9"/>
                <c:pt idx="0">
                  <c:v>Cybersecurity</c:v>
                </c:pt>
                <c:pt idx="1">
                  <c:v>Access Control</c:v>
                </c:pt>
                <c:pt idx="2">
                  <c:v>Data Security</c:v>
                </c:pt>
                <c:pt idx="3">
                  <c:v>Compliance</c:v>
                </c:pt>
                <c:pt idx="4">
                  <c:v>Third-Party</c:v>
                </c:pt>
                <c:pt idx="5">
                  <c:v>BC</c:v>
                </c:pt>
                <c:pt idx="6">
                  <c:v>HR</c:v>
                </c:pt>
                <c:pt idx="7">
                  <c:v>Physical</c:v>
                </c:pt>
                <c:pt idx="8">
                  <c:v>Change Mgmt</c:v>
                </c:pt>
              </c:strCache>
            </c:strRef>
          </c:cat>
          <c:val>
            <c:numRef>
              <c:f>'Executive Dashboard'!$F$22:$F$30</c:f>
              <c:numCache>
                <c:formatCode>General</c:formatCode>
                <c:ptCount val="9"/>
                <c:pt idx="0">
                  <c:v>4</c:v>
                </c:pt>
                <c:pt idx="1">
                  <c:v>3</c:v>
                </c:pt>
                <c:pt idx="2">
                  <c:v>3</c:v>
                </c:pt>
                <c:pt idx="3">
                  <c:v>3</c:v>
                </c:pt>
                <c:pt idx="4">
                  <c:v>2</c:v>
                </c:pt>
                <c:pt idx="5">
                  <c:v>3</c:v>
                </c:pt>
                <c:pt idx="6">
                  <c:v>2</c:v>
                </c:pt>
                <c:pt idx="7">
                  <c:v>1</c:v>
                </c:pt>
                <c:pt idx="8">
                  <c:v>1</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26</xdr:row>
      <xdr:rowOff>0</xdr:rowOff>
    </xdr:from>
    <xdr:to>
      <xdr:col>7</xdr:col>
      <xdr:colOff>261360</xdr:colOff>
      <xdr:row>43</xdr:row>
      <xdr:rowOff>73080</xdr:rowOff>
    </xdr:to>
    <xdr:graphicFrame>
      <xdr:nvGraphicFramePr>
        <xdr:cNvPr id="0" name="Chart 1"/>
        <xdr:cNvGraphicFramePr/>
      </xdr:nvGraphicFramePr>
      <xdr:xfrm>
        <a:off x="916200" y="6858000"/>
        <a:ext cx="5759280" cy="395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0</xdr:colOff>
      <xdr:row>26</xdr:row>
      <xdr:rowOff>0</xdr:rowOff>
    </xdr:from>
    <xdr:to>
      <xdr:col>14</xdr:col>
      <xdr:colOff>261360</xdr:colOff>
      <xdr:row>43</xdr:row>
      <xdr:rowOff>73080</xdr:rowOff>
    </xdr:to>
    <xdr:graphicFrame>
      <xdr:nvGraphicFramePr>
        <xdr:cNvPr id="1" name="Chart 2"/>
        <xdr:cNvGraphicFramePr/>
      </xdr:nvGraphicFramePr>
      <xdr:xfrm>
        <a:off x="7330320" y="6858000"/>
        <a:ext cx="5759280" cy="395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1" width="14"/>
  </cols>
  <sheetData>
    <row r="1" customFormat="false" ht="120" hidden="false" customHeight="true" outlineLevel="0" collapsed="false">
      <c r="A1" s="2" t="s">
        <v>0</v>
      </c>
      <c r="B1" s="2"/>
      <c r="C1" s="2"/>
      <c r="D1" s="2"/>
      <c r="E1" s="2"/>
      <c r="F1" s="2"/>
      <c r="G1" s="2"/>
      <c r="H1" s="2"/>
      <c r="I1" s="2"/>
      <c r="J1" s="2"/>
    </row>
    <row r="2" customFormat="false" ht="15.75" hidden="false" customHeight="true" outlineLevel="0" collapsed="false">
      <c r="A2" s="2"/>
      <c r="B2" s="2"/>
      <c r="C2" s="2"/>
      <c r="D2" s="2"/>
      <c r="E2" s="2"/>
      <c r="F2" s="2"/>
      <c r="G2" s="2"/>
      <c r="H2" s="2"/>
      <c r="I2" s="2"/>
      <c r="J2" s="2"/>
    </row>
    <row r="3" customFormat="false" ht="15.75" hidden="false" customHeight="true" outlineLevel="0" collapsed="false">
      <c r="A3" s="2"/>
      <c r="B3" s="2"/>
      <c r="C3" s="2"/>
      <c r="D3" s="2"/>
      <c r="E3" s="2"/>
      <c r="F3" s="2"/>
      <c r="G3" s="2"/>
      <c r="H3" s="2"/>
      <c r="I3" s="2"/>
      <c r="J3" s="2"/>
    </row>
    <row r="4" customFormat="false" ht="15.75" hidden="false" customHeight="true" outlineLevel="0" collapsed="false">
      <c r="A4" s="2"/>
      <c r="B4" s="2"/>
      <c r="C4" s="2"/>
      <c r="D4" s="2"/>
      <c r="E4" s="2"/>
      <c r="F4" s="2"/>
      <c r="G4" s="2"/>
      <c r="H4" s="2"/>
      <c r="I4" s="2"/>
      <c r="J4" s="2"/>
    </row>
    <row r="5" customFormat="false" ht="15.75" hidden="false" customHeight="true" outlineLevel="0" collapsed="false">
      <c r="A5" s="2"/>
      <c r="B5" s="2"/>
      <c r="C5" s="2"/>
      <c r="D5" s="2"/>
      <c r="E5" s="2"/>
      <c r="F5" s="2"/>
      <c r="G5" s="2"/>
      <c r="H5" s="2"/>
      <c r="I5" s="2"/>
      <c r="J5" s="2"/>
    </row>
    <row r="6" customFormat="false" ht="15.75" hidden="false" customHeight="true" outlineLevel="0" collapsed="false">
      <c r="A6" s="2"/>
      <c r="B6" s="2"/>
      <c r="C6" s="2"/>
      <c r="D6" s="2"/>
      <c r="E6" s="2"/>
      <c r="F6" s="2"/>
      <c r="G6" s="2"/>
      <c r="H6" s="2"/>
      <c r="I6" s="2"/>
      <c r="J6" s="2"/>
    </row>
    <row r="7" customFormat="false" ht="15.75" hidden="false" customHeight="true" outlineLevel="0" collapsed="false">
      <c r="A7" s="2"/>
      <c r="B7" s="2"/>
      <c r="C7" s="2"/>
      <c r="D7" s="2"/>
      <c r="E7" s="2"/>
      <c r="F7" s="2"/>
      <c r="G7" s="2"/>
      <c r="H7" s="2"/>
      <c r="I7" s="2"/>
      <c r="J7" s="2"/>
    </row>
    <row r="8" customFormat="false" ht="15.75" hidden="false" customHeight="true" outlineLevel="0" collapsed="false">
      <c r="A8" s="2"/>
      <c r="B8" s="2"/>
      <c r="C8" s="2"/>
      <c r="D8" s="2"/>
      <c r="E8" s="2"/>
      <c r="F8" s="2"/>
      <c r="G8" s="2"/>
      <c r="H8" s="2"/>
      <c r="I8" s="2"/>
      <c r="J8" s="2"/>
    </row>
    <row r="9" customFormat="false" ht="15.75" hidden="false" customHeight="true" outlineLevel="0" collapsed="false">
      <c r="A9" s="2"/>
      <c r="B9" s="2"/>
      <c r="C9" s="2"/>
      <c r="D9" s="2"/>
      <c r="E9" s="2"/>
      <c r="F9" s="2"/>
      <c r="G9" s="2"/>
      <c r="H9" s="2"/>
      <c r="I9" s="2"/>
      <c r="J9" s="2"/>
    </row>
    <row r="10" customFormat="false" ht="27.75" hidden="false" customHeight="true" outlineLevel="0" collapsed="false">
      <c r="A10" s="3" t="s">
        <v>1</v>
      </c>
      <c r="B10" s="3"/>
      <c r="C10" s="3"/>
      <c r="D10" s="3"/>
      <c r="E10" s="3"/>
      <c r="F10" s="3"/>
      <c r="G10" s="3"/>
      <c r="H10" s="3"/>
      <c r="I10" s="3"/>
      <c r="J10" s="3"/>
    </row>
    <row r="11" customFormat="false" ht="15.75" hidden="false" customHeight="true" outlineLevel="0" collapsed="false"/>
    <row r="12" customFormat="false" ht="21.75" hidden="false" customHeight="true" outlineLevel="0" collapsed="false">
      <c r="B12" s="4" t="s">
        <v>2</v>
      </c>
      <c r="C12" s="4"/>
      <c r="D12" s="5" t="s">
        <v>3</v>
      </c>
      <c r="E12" s="5"/>
      <c r="F12" s="5"/>
      <c r="G12" s="5"/>
      <c r="H12" s="5"/>
      <c r="I12" s="5"/>
    </row>
    <row r="13" customFormat="false" ht="15.75" hidden="false" customHeight="true" outlineLevel="0" collapsed="false"/>
    <row r="14" customFormat="false" ht="21.75" hidden="false" customHeight="true" outlineLevel="0" collapsed="false">
      <c r="B14" s="4" t="s">
        <v>4</v>
      </c>
      <c r="C14" s="4"/>
      <c r="D14" s="5" t="s">
        <v>5</v>
      </c>
      <c r="E14" s="5"/>
      <c r="F14" s="5"/>
      <c r="G14" s="5"/>
      <c r="H14" s="5"/>
      <c r="I14" s="5"/>
    </row>
    <row r="15" customFormat="false" ht="15.75" hidden="false" customHeight="true" outlineLevel="0" collapsed="false"/>
    <row r="16" customFormat="false" ht="21.75" hidden="false" customHeight="true" outlineLevel="0" collapsed="false">
      <c r="B16" s="4" t="s">
        <v>6</v>
      </c>
      <c r="C16" s="4"/>
      <c r="D16" s="5" t="s">
        <v>7</v>
      </c>
      <c r="E16" s="5"/>
      <c r="F16" s="5"/>
      <c r="G16" s="5"/>
      <c r="H16" s="5"/>
      <c r="I16" s="5"/>
    </row>
    <row r="17" customFormat="false" ht="15.75" hidden="false" customHeight="true" outlineLevel="0" collapsed="false"/>
    <row r="18" customFormat="false" ht="21.75" hidden="false" customHeight="true" outlineLevel="0" collapsed="false">
      <c r="B18" s="4" t="s">
        <v>8</v>
      </c>
      <c r="C18" s="4"/>
      <c r="D18" s="5" t="s">
        <v>9</v>
      </c>
      <c r="E18" s="5"/>
      <c r="F18" s="5"/>
      <c r="G18" s="5"/>
      <c r="H18" s="5"/>
      <c r="I18" s="5"/>
    </row>
    <row r="19" customFormat="false" ht="15.75" hidden="false" customHeight="true" outlineLevel="0" collapsed="false"/>
    <row r="20" customFormat="false" ht="21.75" hidden="false" customHeight="true" outlineLevel="0" collapsed="false">
      <c r="B20" s="4" t="s">
        <v>10</v>
      </c>
      <c r="C20" s="4"/>
      <c r="D20" s="5" t="s">
        <v>11</v>
      </c>
      <c r="E20" s="5"/>
      <c r="F20" s="5"/>
      <c r="G20" s="5"/>
      <c r="H20" s="5"/>
      <c r="I20" s="5"/>
    </row>
    <row r="21" customFormat="false" ht="15.75" hidden="false" customHeight="true" outlineLevel="0" collapsed="false"/>
    <row r="22" customFormat="false" ht="21.75" hidden="false" customHeight="true" outlineLevel="0" collapsed="false">
      <c r="B22" s="4" t="s">
        <v>12</v>
      </c>
      <c r="C22" s="4"/>
      <c r="D22" s="5" t="s">
        <v>13</v>
      </c>
      <c r="E22" s="5"/>
      <c r="F22" s="5"/>
      <c r="G22" s="5"/>
      <c r="H22" s="5"/>
      <c r="I22" s="5"/>
    </row>
    <row r="23" customFormat="false" ht="15.75" hidden="false" customHeight="true" outlineLevel="0" collapsed="false"/>
    <row r="24" customFormat="false" ht="21.75" hidden="false" customHeight="true" outlineLevel="0" collapsed="false">
      <c r="B24" s="4" t="s">
        <v>14</v>
      </c>
      <c r="C24" s="4"/>
      <c r="D24" s="5" t="s">
        <v>15</v>
      </c>
      <c r="E24" s="5"/>
      <c r="F24" s="5"/>
      <c r="G24" s="5"/>
      <c r="H24" s="5"/>
      <c r="I24" s="5"/>
    </row>
    <row r="25" customFormat="false" ht="15.75" hidden="false" customHeight="true" outlineLevel="0" collapsed="false"/>
    <row r="26" customFormat="false" ht="21.75" hidden="false" customHeight="true" outlineLevel="0" collapsed="false">
      <c r="B26" s="4" t="s">
        <v>16</v>
      </c>
      <c r="C26" s="4"/>
      <c r="D26" s="5" t="s">
        <v>17</v>
      </c>
      <c r="E26" s="5"/>
      <c r="F26" s="5"/>
      <c r="G26" s="5"/>
      <c r="H26" s="5"/>
      <c r="I26" s="5"/>
    </row>
    <row r="27" customFormat="false" ht="15.75" hidden="false" customHeight="true" outlineLevel="0" collapsed="false"/>
    <row r="28" customFormat="false" ht="21.75" hidden="false" customHeight="true" outlineLevel="0" collapsed="false">
      <c r="B28" s="4" t="s">
        <v>18</v>
      </c>
      <c r="C28" s="4"/>
      <c r="D28" s="5" t="s">
        <v>19</v>
      </c>
      <c r="E28" s="5"/>
      <c r="F28" s="5"/>
      <c r="G28" s="5"/>
      <c r="H28" s="5"/>
      <c r="I28" s="5"/>
    </row>
    <row r="29" customFormat="false" ht="15.75" hidden="false" customHeight="true" outlineLevel="0" collapsed="false"/>
    <row r="30" customFormat="false" ht="21.75" hidden="false" customHeight="true" outlineLevel="0" collapsed="false">
      <c r="B30" s="4" t="s">
        <v>20</v>
      </c>
      <c r="C30" s="4"/>
      <c r="D30" s="5" t="s">
        <v>21</v>
      </c>
      <c r="E30" s="5"/>
      <c r="F30" s="5"/>
      <c r="G30" s="5"/>
      <c r="H30" s="5"/>
      <c r="I30" s="5"/>
    </row>
    <row r="31" customFormat="false" ht="15.75" hidden="false" customHeight="true" outlineLevel="0" collapsed="false"/>
    <row r="32" customFormat="false" ht="21.75" hidden="false" customHeight="true" outlineLevel="0" collapsed="false">
      <c r="B32" s="4" t="s">
        <v>22</v>
      </c>
      <c r="C32" s="4"/>
      <c r="D32" s="5" t="s">
        <v>23</v>
      </c>
      <c r="E32" s="5"/>
      <c r="F32" s="5"/>
      <c r="G32" s="5"/>
      <c r="H32" s="5"/>
      <c r="I32" s="5"/>
    </row>
    <row r="33" customFormat="false" ht="15.75" hidden="false" customHeight="true" outlineLevel="0" collapsed="false"/>
    <row r="34" customFormat="false" ht="21.75" hidden="false" customHeight="true" outlineLevel="0" collapsed="false">
      <c r="B34" s="4" t="s">
        <v>24</v>
      </c>
      <c r="C34" s="4"/>
      <c r="D34" s="5" t="s">
        <v>25</v>
      </c>
      <c r="E34" s="5"/>
      <c r="F34" s="5"/>
      <c r="G34" s="5"/>
      <c r="H34" s="5"/>
      <c r="I34" s="5"/>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24" hidden="false" customHeight="true" outlineLevel="0" collapsed="false">
      <c r="B38" s="6" t="s">
        <v>26</v>
      </c>
      <c r="C38" s="6"/>
      <c r="D38" s="6"/>
      <c r="E38" s="6"/>
      <c r="F38" s="6"/>
      <c r="G38" s="6"/>
      <c r="H38" s="6"/>
      <c r="I38" s="6"/>
    </row>
    <row r="39" customFormat="false" ht="79.5" hidden="false" customHeight="true" outlineLevel="0" collapsed="false">
      <c r="B39" s="7" t="s">
        <v>27</v>
      </c>
      <c r="C39" s="7"/>
      <c r="D39" s="7"/>
      <c r="E39" s="7"/>
      <c r="F39" s="7"/>
      <c r="G39" s="7"/>
      <c r="H39" s="7"/>
      <c r="I39" s="7"/>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c r="A60" s="8" t="s">
        <v>28</v>
      </c>
      <c r="B60" s="8"/>
      <c r="C60" s="8"/>
      <c r="D60" s="8"/>
      <c r="E60" s="8"/>
      <c r="F60" s="8"/>
      <c r="G60" s="8"/>
      <c r="H60" s="8"/>
      <c r="I60" s="8"/>
      <c r="J60" s="8"/>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sheetData>
  <mergeCells count="29">
    <mergeCell ref="A1:J9"/>
    <mergeCell ref="A10:J10"/>
    <mergeCell ref="B12:C12"/>
    <mergeCell ref="D12:I12"/>
    <mergeCell ref="B14:C14"/>
    <mergeCell ref="D14:I14"/>
    <mergeCell ref="B16:C16"/>
    <mergeCell ref="D16:I16"/>
    <mergeCell ref="B18:C18"/>
    <mergeCell ref="D18:I18"/>
    <mergeCell ref="B20:C20"/>
    <mergeCell ref="D20:I20"/>
    <mergeCell ref="B22:C22"/>
    <mergeCell ref="D22:I22"/>
    <mergeCell ref="B24:C24"/>
    <mergeCell ref="D24:I24"/>
    <mergeCell ref="B26:C26"/>
    <mergeCell ref="D26:I26"/>
    <mergeCell ref="B28:C28"/>
    <mergeCell ref="D28:I28"/>
    <mergeCell ref="B30:C30"/>
    <mergeCell ref="D30:I30"/>
    <mergeCell ref="B32:C32"/>
    <mergeCell ref="D32:I32"/>
    <mergeCell ref="B34:C34"/>
    <mergeCell ref="D34:I34"/>
    <mergeCell ref="B38:I38"/>
    <mergeCell ref="B39:I39"/>
    <mergeCell ref="A60:J6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0"/>
    <col collapsed="false" customWidth="true" hidden="false" outlineLevel="0" max="3" min="3" style="1" width="28"/>
    <col collapsed="false" customWidth="true" hidden="false" outlineLevel="0" max="4" min="4" style="1" width="30"/>
    <col collapsed="false" customWidth="true" hidden="false" outlineLevel="0" max="5" min="5" style="1" width="28"/>
    <col collapsed="false" customWidth="true" hidden="false" outlineLevel="0" max="6" min="6" style="1" width="20"/>
    <col collapsed="false" customWidth="true" hidden="false" outlineLevel="0" max="7" min="7" style="1" width="26"/>
    <col collapsed="false" customWidth="true" hidden="false" outlineLevel="0" max="8" min="8" style="1" width="18"/>
  </cols>
  <sheetData>
    <row r="1" customFormat="false" ht="37.5" hidden="false" customHeight="true" outlineLevel="0" collapsed="false">
      <c r="A1" s="9" t="s">
        <v>29</v>
      </c>
      <c r="B1" s="9"/>
      <c r="C1" s="9"/>
      <c r="D1" s="9"/>
      <c r="E1" s="9"/>
      <c r="F1" s="9"/>
      <c r="G1" s="9"/>
      <c r="H1" s="9"/>
    </row>
    <row r="2" customFormat="false" ht="19.5" hidden="false" customHeight="true" outlineLevel="0" collapsed="false">
      <c r="A2" s="10" t="s">
        <v>30</v>
      </c>
      <c r="B2" s="10"/>
      <c r="C2" s="10"/>
      <c r="D2" s="10"/>
      <c r="E2" s="10"/>
      <c r="F2" s="10"/>
      <c r="G2" s="10"/>
      <c r="H2" s="10"/>
    </row>
    <row r="5" customFormat="false" ht="27.75" hidden="false" customHeight="true" outlineLevel="0" collapsed="false">
      <c r="B5" s="11" t="s">
        <v>31</v>
      </c>
      <c r="C5" s="11"/>
      <c r="D5" s="12" t="s">
        <v>32</v>
      </c>
      <c r="E5" s="12"/>
      <c r="F5" s="13" t="s">
        <v>33</v>
      </c>
      <c r="G5" s="13"/>
    </row>
    <row r="6" customFormat="false" ht="19.5" hidden="false" customHeight="true" outlineLevel="0" collapsed="false">
      <c r="B6" s="14" t="s">
        <v>34</v>
      </c>
      <c r="C6" s="14"/>
      <c r="D6" s="15" t="s">
        <v>35</v>
      </c>
      <c r="E6" s="15"/>
      <c r="F6" s="16" t="s">
        <v>36</v>
      </c>
      <c r="G6" s="16"/>
    </row>
    <row r="7" customFormat="false" ht="19.5" hidden="false" customHeight="true" outlineLevel="0" collapsed="false">
      <c r="B7" s="17" t="s">
        <v>37</v>
      </c>
      <c r="C7" s="17"/>
      <c r="D7" s="18" t="s">
        <v>38</v>
      </c>
      <c r="E7" s="18"/>
      <c r="F7" s="19" t="s">
        <v>39</v>
      </c>
      <c r="G7" s="19"/>
    </row>
    <row r="8" customFormat="false" ht="19.5" hidden="false" customHeight="true" outlineLevel="0" collapsed="false">
      <c r="B8" s="14" t="s">
        <v>40</v>
      </c>
      <c r="C8" s="14"/>
      <c r="D8" s="15" t="s">
        <v>41</v>
      </c>
      <c r="E8" s="15"/>
      <c r="F8" s="16" t="s">
        <v>42</v>
      </c>
      <c r="G8" s="16"/>
    </row>
    <row r="9" customFormat="false" ht="19.5" hidden="false" customHeight="true" outlineLevel="0" collapsed="false">
      <c r="B9" s="17" t="s">
        <v>43</v>
      </c>
      <c r="C9" s="17"/>
      <c r="D9" s="18" t="s">
        <v>44</v>
      </c>
      <c r="E9" s="18"/>
      <c r="F9" s="19" t="s">
        <v>45</v>
      </c>
      <c r="G9" s="19"/>
    </row>
    <row r="11" customFormat="false" ht="19.5" hidden="false" customHeight="true" outlineLevel="0" collapsed="false">
      <c r="B11" s="20" t="s">
        <v>46</v>
      </c>
      <c r="C11" s="20"/>
      <c r="D11" s="21" t="s">
        <v>46</v>
      </c>
      <c r="E11" s="21"/>
      <c r="F11" s="22" t="s">
        <v>46</v>
      </c>
      <c r="G11" s="22"/>
    </row>
    <row r="12" customFormat="false" ht="21.75" hidden="false" customHeight="true" outlineLevel="0" collapsed="false">
      <c r="B12" s="23" t="s">
        <v>47</v>
      </c>
      <c r="C12" s="23"/>
      <c r="D12" s="23" t="s">
        <v>48</v>
      </c>
      <c r="E12" s="23"/>
      <c r="F12" s="23" t="s">
        <v>49</v>
      </c>
      <c r="G12" s="23"/>
    </row>
    <row r="13" customFormat="false" ht="21.75" hidden="false" customHeight="true" outlineLevel="0" collapsed="false">
      <c r="B13" s="24" t="s">
        <v>50</v>
      </c>
      <c r="C13" s="24"/>
      <c r="D13" s="24" t="s">
        <v>51</v>
      </c>
      <c r="E13" s="24"/>
      <c r="F13" s="24" t="s">
        <v>52</v>
      </c>
      <c r="G13" s="24"/>
    </row>
    <row r="14" customFormat="false" ht="21.75" hidden="false" customHeight="true" outlineLevel="0" collapsed="false">
      <c r="B14" s="23" t="s">
        <v>53</v>
      </c>
      <c r="C14" s="23"/>
      <c r="D14" s="23" t="s">
        <v>54</v>
      </c>
      <c r="E14" s="23"/>
      <c r="F14" s="23" t="s">
        <v>55</v>
      </c>
      <c r="G14" s="23"/>
    </row>
    <row r="15" customFormat="false" ht="21.75" hidden="false" customHeight="true" outlineLevel="0" collapsed="false">
      <c r="B15" s="24" t="s">
        <v>56</v>
      </c>
      <c r="C15" s="24"/>
      <c r="D15" s="24" t="s">
        <v>57</v>
      </c>
      <c r="E15" s="24"/>
      <c r="F15" s="24" t="s">
        <v>58</v>
      </c>
      <c r="G15" s="24"/>
    </row>
    <row r="16" customFormat="false" ht="21.75" hidden="false" customHeight="true" outlineLevel="0" collapsed="false">
      <c r="B16" s="23" t="s">
        <v>59</v>
      </c>
      <c r="C16" s="23"/>
      <c r="D16" s="23" t="s">
        <v>60</v>
      </c>
      <c r="E16" s="23"/>
      <c r="F16" s="23" t="s">
        <v>61</v>
      </c>
      <c r="G16" s="23"/>
    </row>
    <row r="18" customFormat="false" ht="25.5" hidden="false" customHeight="true" outlineLevel="0" collapsed="false">
      <c r="A18" s="25" t="s">
        <v>62</v>
      </c>
      <c r="B18" s="25"/>
      <c r="C18" s="25"/>
      <c r="D18" s="25"/>
      <c r="E18" s="25"/>
      <c r="F18" s="25"/>
      <c r="G18" s="25"/>
      <c r="H18" s="25"/>
    </row>
    <row r="19" customFormat="false" ht="21.75" hidden="false" customHeight="true" outlineLevel="0" collapsed="false">
      <c r="B19" s="26" t="s">
        <v>63</v>
      </c>
      <c r="C19" s="27" t="s">
        <v>64</v>
      </c>
      <c r="D19" s="27" t="s">
        <v>65</v>
      </c>
      <c r="E19" s="27" t="s">
        <v>66</v>
      </c>
    </row>
    <row r="20" customFormat="false" ht="21.75" hidden="false" customHeight="true" outlineLevel="0" collapsed="false">
      <c r="B20" s="28" t="s">
        <v>67</v>
      </c>
      <c r="C20" s="29" t="s">
        <v>68</v>
      </c>
      <c r="D20" s="29" t="s">
        <v>69</v>
      </c>
      <c r="E20" s="29" t="s">
        <v>70</v>
      </c>
    </row>
    <row r="21" customFormat="false" ht="21.75" hidden="false" customHeight="true" outlineLevel="0" collapsed="false">
      <c r="B21" s="30" t="s">
        <v>71</v>
      </c>
      <c r="C21" s="31" t="s">
        <v>72</v>
      </c>
      <c r="D21" s="31" t="s">
        <v>73</v>
      </c>
      <c r="E21" s="31" t="s">
        <v>74</v>
      </c>
    </row>
    <row r="22" customFormat="false" ht="21.75" hidden="false" customHeight="true" outlineLevel="0" collapsed="false">
      <c r="B22" s="28" t="s">
        <v>75</v>
      </c>
      <c r="C22" s="29" t="s">
        <v>68</v>
      </c>
      <c r="D22" s="29" t="s">
        <v>76</v>
      </c>
      <c r="E22" s="29" t="s">
        <v>77</v>
      </c>
    </row>
    <row r="23" customFormat="false" ht="21.75" hidden="false" customHeight="true" outlineLevel="0" collapsed="false">
      <c r="B23" s="30" t="s">
        <v>78</v>
      </c>
      <c r="C23" s="31" t="s">
        <v>79</v>
      </c>
      <c r="D23" s="31" t="s">
        <v>80</v>
      </c>
      <c r="E23" s="31" t="s">
        <v>81</v>
      </c>
    </row>
    <row r="24" customFormat="false" ht="21.75" hidden="false" customHeight="true" outlineLevel="0" collapsed="false">
      <c r="B24" s="28" t="s">
        <v>82</v>
      </c>
      <c r="C24" s="29" t="s">
        <v>72</v>
      </c>
      <c r="D24" s="29" t="s">
        <v>83</v>
      </c>
      <c r="E24" s="29" t="s">
        <v>84</v>
      </c>
    </row>
    <row r="25" customFormat="false" ht="21.75" hidden="false" customHeight="true" outlineLevel="0" collapsed="false">
      <c r="B25" s="30" t="s">
        <v>85</v>
      </c>
      <c r="C25" s="31" t="s">
        <v>68</v>
      </c>
      <c r="D25" s="31" t="s">
        <v>86</v>
      </c>
      <c r="E25" s="31" t="s">
        <v>87</v>
      </c>
    </row>
    <row r="27" customFormat="false" ht="25.5" hidden="false" customHeight="true" outlineLevel="0" collapsed="false">
      <c r="A27" s="32" t="s">
        <v>88</v>
      </c>
      <c r="B27" s="32"/>
      <c r="C27" s="32"/>
      <c r="D27" s="32"/>
      <c r="E27" s="32"/>
      <c r="F27" s="32"/>
      <c r="G27" s="32"/>
      <c r="H27" s="32"/>
    </row>
    <row r="28" customFormat="false" ht="21.75" hidden="false" customHeight="true" outlineLevel="0" collapsed="false">
      <c r="B28" s="26" t="s">
        <v>89</v>
      </c>
      <c r="C28" s="27" t="s">
        <v>90</v>
      </c>
      <c r="D28" s="27" t="s">
        <v>91</v>
      </c>
      <c r="E28" s="27" t="s">
        <v>92</v>
      </c>
    </row>
    <row r="29" customFormat="false" ht="21.75" hidden="false" customHeight="true" outlineLevel="0" collapsed="false">
      <c r="B29" s="28" t="s">
        <v>93</v>
      </c>
      <c r="C29" s="29" t="s">
        <v>94</v>
      </c>
      <c r="D29" s="29" t="s">
        <v>95</v>
      </c>
      <c r="E29" s="29" t="s">
        <v>96</v>
      </c>
    </row>
    <row r="30" customFormat="false" ht="21.75" hidden="false" customHeight="true" outlineLevel="0" collapsed="false">
      <c r="B30" s="30" t="s">
        <v>97</v>
      </c>
      <c r="C30" s="31" t="s">
        <v>98</v>
      </c>
      <c r="D30" s="31" t="s">
        <v>99</v>
      </c>
      <c r="E30" s="31" t="s">
        <v>96</v>
      </c>
    </row>
    <row r="31" customFormat="false" ht="21.75" hidden="false" customHeight="true" outlineLevel="0" collapsed="false">
      <c r="B31" s="28" t="s">
        <v>100</v>
      </c>
      <c r="C31" s="29" t="s">
        <v>101</v>
      </c>
      <c r="D31" s="29" t="s">
        <v>102</v>
      </c>
      <c r="E31" s="29" t="s">
        <v>103</v>
      </c>
    </row>
    <row r="32" customFormat="false" ht="21.75" hidden="false" customHeight="true" outlineLevel="0" collapsed="false">
      <c r="B32" s="30" t="s">
        <v>104</v>
      </c>
      <c r="C32" s="31" t="s">
        <v>105</v>
      </c>
      <c r="D32" s="31" t="s">
        <v>106</v>
      </c>
      <c r="E32" s="31" t="s">
        <v>96</v>
      </c>
    </row>
    <row r="33" customFormat="false" ht="21.75" hidden="false" customHeight="true" outlineLevel="0" collapsed="false">
      <c r="B33" s="28" t="s">
        <v>107</v>
      </c>
      <c r="C33" s="29" t="s">
        <v>108</v>
      </c>
      <c r="D33" s="29" t="s">
        <v>109</v>
      </c>
      <c r="E33" s="29" t="s">
        <v>110</v>
      </c>
    </row>
    <row r="34" customFormat="false" ht="21.75" hidden="false" customHeight="true" outlineLevel="0" collapsed="false">
      <c r="B34" s="30" t="s">
        <v>111</v>
      </c>
      <c r="C34" s="31" t="s">
        <v>112</v>
      </c>
      <c r="D34" s="31" t="s">
        <v>113</v>
      </c>
      <c r="E34" s="31" t="s">
        <v>114</v>
      </c>
    </row>
    <row r="35" customFormat="false" ht="21.75" hidden="false" customHeight="true" outlineLevel="0" collapsed="false">
      <c r="B35" s="28" t="s">
        <v>115</v>
      </c>
      <c r="C35" s="29" t="s">
        <v>116</v>
      </c>
      <c r="D35" s="29" t="s">
        <v>117</v>
      </c>
      <c r="E35" s="29" t="s">
        <v>96</v>
      </c>
    </row>
    <row r="36" customFormat="false" ht="21.75" hidden="false" customHeight="true" outlineLevel="0" collapsed="false">
      <c r="B36" s="30" t="s">
        <v>118</v>
      </c>
      <c r="C36" s="31" t="s">
        <v>119</v>
      </c>
      <c r="D36" s="31" t="s">
        <v>120</v>
      </c>
      <c r="E36" s="31" t="s">
        <v>96</v>
      </c>
    </row>
    <row r="37" customFormat="false" ht="21.75" hidden="false" customHeight="true" outlineLevel="0" collapsed="false">
      <c r="B37" s="28" t="s">
        <v>121</v>
      </c>
      <c r="C37" s="29" t="s">
        <v>122</v>
      </c>
      <c r="D37" s="29" t="s">
        <v>123</v>
      </c>
      <c r="E37" s="29" t="s">
        <v>124</v>
      </c>
    </row>
  </sheetData>
  <mergeCells count="37">
    <mergeCell ref="A1:H1"/>
    <mergeCell ref="A2:H2"/>
    <mergeCell ref="B5:C5"/>
    <mergeCell ref="D5:E5"/>
    <mergeCell ref="F5:G5"/>
    <mergeCell ref="B6:C6"/>
    <mergeCell ref="D6:E6"/>
    <mergeCell ref="F6:G6"/>
    <mergeCell ref="B7:C7"/>
    <mergeCell ref="D7:E7"/>
    <mergeCell ref="F7:G7"/>
    <mergeCell ref="B8:C8"/>
    <mergeCell ref="D8:E8"/>
    <mergeCell ref="F8:G8"/>
    <mergeCell ref="B9:C9"/>
    <mergeCell ref="D9:E9"/>
    <mergeCell ref="F9:G9"/>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A18:H18"/>
    <mergeCell ref="A27:H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24"/>
    <col collapsed="false" customWidth="true" hidden="false" outlineLevel="0" max="4" min="4" style="1" width="35"/>
    <col collapsed="false" customWidth="true" hidden="false" outlineLevel="0" max="5" min="5" style="1" width="30"/>
    <col collapsed="false" customWidth="true" hidden="false" outlineLevel="0" max="8" min="6" style="1" width="10"/>
    <col collapsed="false" customWidth="true" hidden="false" outlineLevel="0" max="9" min="9" style="1" width="14"/>
    <col collapsed="false" customWidth="true" hidden="false" outlineLevel="0" max="11" min="10" style="1" width="30"/>
    <col collapsed="false" customWidth="true" hidden="false" outlineLevel="0" max="12" min="12" style="1" width="18"/>
    <col collapsed="false" customWidth="true" hidden="false" outlineLevel="0" max="13" min="13" style="1" width="16"/>
  </cols>
  <sheetData>
    <row r="1" customFormat="false" ht="37.5" hidden="false" customHeight="true" outlineLevel="0" collapsed="false">
      <c r="A1" s="9" t="s">
        <v>125</v>
      </c>
      <c r="B1" s="9"/>
      <c r="C1" s="9"/>
      <c r="D1" s="9"/>
      <c r="E1" s="9"/>
      <c r="F1" s="9"/>
      <c r="G1" s="9"/>
      <c r="H1" s="9"/>
      <c r="I1" s="9"/>
      <c r="J1" s="9"/>
      <c r="K1" s="9"/>
      <c r="L1" s="9"/>
      <c r="M1" s="9"/>
    </row>
    <row r="2" customFormat="false" ht="19.5" hidden="false" customHeight="true" outlineLevel="0" collapsed="false">
      <c r="A2" s="33" t="s">
        <v>126</v>
      </c>
      <c r="B2" s="33"/>
      <c r="C2" s="33"/>
      <c r="D2" s="33"/>
      <c r="E2" s="33"/>
      <c r="F2" s="33"/>
      <c r="G2" s="33"/>
      <c r="H2" s="33"/>
      <c r="I2" s="33"/>
      <c r="J2" s="33"/>
      <c r="K2" s="33"/>
      <c r="L2" s="33"/>
      <c r="M2" s="33"/>
    </row>
    <row r="3" customFormat="false" ht="36" hidden="false" customHeight="true" outlineLevel="0" collapsed="false">
      <c r="A3" s="34" t="s">
        <v>127</v>
      </c>
      <c r="B3" s="34" t="s">
        <v>128</v>
      </c>
      <c r="C3" s="34" t="s">
        <v>129</v>
      </c>
      <c r="D3" s="34" t="s">
        <v>130</v>
      </c>
      <c r="E3" s="34" t="s">
        <v>131</v>
      </c>
      <c r="F3" s="34" t="s">
        <v>132</v>
      </c>
      <c r="G3" s="34" t="s">
        <v>133</v>
      </c>
      <c r="H3" s="34" t="s">
        <v>134</v>
      </c>
      <c r="I3" s="34" t="s">
        <v>135</v>
      </c>
      <c r="J3" s="34" t="s">
        <v>136</v>
      </c>
      <c r="K3" s="34" t="s">
        <v>137</v>
      </c>
      <c r="L3" s="34" t="s">
        <v>138</v>
      </c>
      <c r="M3" s="34" t="s">
        <v>139</v>
      </c>
    </row>
    <row r="4" customFormat="false" ht="57.75" hidden="false" customHeight="true" outlineLevel="0" collapsed="false">
      <c r="A4" s="35" t="s">
        <v>140</v>
      </c>
      <c r="B4" s="36" t="s">
        <v>141</v>
      </c>
      <c r="C4" s="37" t="s">
        <v>142</v>
      </c>
      <c r="D4" s="37" t="s">
        <v>143</v>
      </c>
      <c r="E4" s="37" t="s">
        <v>144</v>
      </c>
      <c r="F4" s="38" t="n">
        <v>5</v>
      </c>
      <c r="G4" s="38" t="n">
        <v>5</v>
      </c>
      <c r="H4" s="39" t="n">
        <f aca="false">F4*G4</f>
        <v>25</v>
      </c>
      <c r="I4" s="40" t="s">
        <v>145</v>
      </c>
      <c r="J4" s="37" t="s">
        <v>146</v>
      </c>
      <c r="K4" s="37" t="s">
        <v>147</v>
      </c>
      <c r="L4" s="37" t="s">
        <v>99</v>
      </c>
      <c r="M4" s="41" t="s">
        <v>148</v>
      </c>
    </row>
    <row r="5" customFormat="false" ht="57.75" hidden="false" customHeight="true" outlineLevel="0" collapsed="false">
      <c r="A5" s="35" t="s">
        <v>149</v>
      </c>
      <c r="B5" s="36" t="s">
        <v>141</v>
      </c>
      <c r="C5" s="42" t="s">
        <v>150</v>
      </c>
      <c r="D5" s="42" t="s">
        <v>151</v>
      </c>
      <c r="E5" s="42" t="s">
        <v>152</v>
      </c>
      <c r="F5" s="38" t="n">
        <v>5</v>
      </c>
      <c r="G5" s="38" t="n">
        <v>4</v>
      </c>
      <c r="H5" s="39" t="n">
        <f aca="false">F5*G5</f>
        <v>20</v>
      </c>
      <c r="I5" s="40" t="s">
        <v>145</v>
      </c>
      <c r="J5" s="42" t="s">
        <v>153</v>
      </c>
      <c r="K5" s="42" t="s">
        <v>154</v>
      </c>
      <c r="L5" s="42" t="s">
        <v>155</v>
      </c>
      <c r="M5" s="43" t="s">
        <v>148</v>
      </c>
    </row>
    <row r="6" customFormat="false" ht="57.75" hidden="false" customHeight="true" outlineLevel="0" collapsed="false">
      <c r="A6" s="35" t="s">
        <v>156</v>
      </c>
      <c r="B6" s="36" t="s">
        <v>141</v>
      </c>
      <c r="C6" s="37" t="s">
        <v>157</v>
      </c>
      <c r="D6" s="37" t="s">
        <v>158</v>
      </c>
      <c r="E6" s="37" t="s">
        <v>159</v>
      </c>
      <c r="F6" s="38" t="n">
        <v>4</v>
      </c>
      <c r="G6" s="38" t="n">
        <v>5</v>
      </c>
      <c r="H6" s="39" t="n">
        <f aca="false">F6*G6</f>
        <v>20</v>
      </c>
      <c r="I6" s="40" t="s">
        <v>145</v>
      </c>
      <c r="J6" s="37" t="s">
        <v>160</v>
      </c>
      <c r="K6" s="37" t="s">
        <v>161</v>
      </c>
      <c r="L6" s="37" t="s">
        <v>117</v>
      </c>
      <c r="M6" s="41" t="s">
        <v>162</v>
      </c>
    </row>
    <row r="7" customFormat="false" ht="57.75" hidden="false" customHeight="true" outlineLevel="0" collapsed="false">
      <c r="A7" s="35" t="s">
        <v>163</v>
      </c>
      <c r="B7" s="36" t="s">
        <v>141</v>
      </c>
      <c r="C7" s="42" t="s">
        <v>164</v>
      </c>
      <c r="D7" s="42" t="s">
        <v>165</v>
      </c>
      <c r="E7" s="42" t="s">
        <v>166</v>
      </c>
      <c r="F7" s="38" t="n">
        <v>4</v>
      </c>
      <c r="G7" s="38" t="n">
        <v>4</v>
      </c>
      <c r="H7" s="39" t="n">
        <f aca="false">F7*G7</f>
        <v>16</v>
      </c>
      <c r="I7" s="44" t="s">
        <v>167</v>
      </c>
      <c r="J7" s="42" t="s">
        <v>168</v>
      </c>
      <c r="K7" s="42" t="s">
        <v>169</v>
      </c>
      <c r="L7" s="42" t="s">
        <v>170</v>
      </c>
      <c r="M7" s="43" t="s">
        <v>148</v>
      </c>
    </row>
    <row r="8" customFormat="false" ht="57.75" hidden="false" customHeight="true" outlineLevel="0" collapsed="false">
      <c r="A8" s="35" t="s">
        <v>171</v>
      </c>
      <c r="B8" s="45" t="s">
        <v>172</v>
      </c>
      <c r="C8" s="37" t="s">
        <v>173</v>
      </c>
      <c r="D8" s="37" t="s">
        <v>174</v>
      </c>
      <c r="E8" s="37" t="s">
        <v>175</v>
      </c>
      <c r="F8" s="38" t="n">
        <v>4</v>
      </c>
      <c r="G8" s="38" t="n">
        <v>4</v>
      </c>
      <c r="H8" s="39" t="n">
        <f aca="false">F8*G8</f>
        <v>16</v>
      </c>
      <c r="I8" s="44" t="s">
        <v>167</v>
      </c>
      <c r="J8" s="37" t="s">
        <v>176</v>
      </c>
      <c r="K8" s="37" t="s">
        <v>177</v>
      </c>
      <c r="L8" s="37" t="s">
        <v>178</v>
      </c>
      <c r="M8" s="41" t="s">
        <v>162</v>
      </c>
    </row>
    <row r="9" customFormat="false" ht="57.75" hidden="false" customHeight="true" outlineLevel="0" collapsed="false">
      <c r="A9" s="35" t="s">
        <v>179</v>
      </c>
      <c r="B9" s="45" t="s">
        <v>172</v>
      </c>
      <c r="C9" s="42" t="s">
        <v>180</v>
      </c>
      <c r="D9" s="42" t="s">
        <v>181</v>
      </c>
      <c r="E9" s="42" t="s">
        <v>182</v>
      </c>
      <c r="F9" s="38" t="n">
        <v>5</v>
      </c>
      <c r="G9" s="38" t="n">
        <v>4</v>
      </c>
      <c r="H9" s="39" t="n">
        <f aca="false">F9*G9</f>
        <v>20</v>
      </c>
      <c r="I9" s="40" t="s">
        <v>145</v>
      </c>
      <c r="J9" s="42" t="s">
        <v>183</v>
      </c>
      <c r="K9" s="42" t="s">
        <v>184</v>
      </c>
      <c r="L9" s="42" t="s">
        <v>185</v>
      </c>
      <c r="M9" s="43" t="s">
        <v>162</v>
      </c>
    </row>
    <row r="10" customFormat="false" ht="57.75" hidden="false" customHeight="true" outlineLevel="0" collapsed="false">
      <c r="A10" s="35" t="s">
        <v>186</v>
      </c>
      <c r="B10" s="45" t="s">
        <v>172</v>
      </c>
      <c r="C10" s="37" t="s">
        <v>187</v>
      </c>
      <c r="D10" s="37" t="s">
        <v>188</v>
      </c>
      <c r="E10" s="37" t="s">
        <v>189</v>
      </c>
      <c r="F10" s="38" t="n">
        <v>3</v>
      </c>
      <c r="G10" s="38" t="n">
        <v>4</v>
      </c>
      <c r="H10" s="39" t="n">
        <f aca="false">F10*G10</f>
        <v>12</v>
      </c>
      <c r="I10" s="44" t="s">
        <v>167</v>
      </c>
      <c r="J10" s="37" t="s">
        <v>190</v>
      </c>
      <c r="K10" s="37" t="s">
        <v>191</v>
      </c>
      <c r="L10" s="37" t="s">
        <v>192</v>
      </c>
      <c r="M10" s="41" t="s">
        <v>162</v>
      </c>
    </row>
    <row r="11" customFormat="false" ht="57.75" hidden="false" customHeight="true" outlineLevel="0" collapsed="false">
      <c r="A11" s="35" t="s">
        <v>193</v>
      </c>
      <c r="B11" s="46" t="s">
        <v>194</v>
      </c>
      <c r="C11" s="42" t="s">
        <v>195</v>
      </c>
      <c r="D11" s="42" t="s">
        <v>196</v>
      </c>
      <c r="E11" s="42" t="s">
        <v>197</v>
      </c>
      <c r="F11" s="38" t="n">
        <v>5</v>
      </c>
      <c r="G11" s="38" t="n">
        <v>5</v>
      </c>
      <c r="H11" s="39" t="n">
        <f aca="false">F11*G11</f>
        <v>25</v>
      </c>
      <c r="I11" s="40" t="s">
        <v>145</v>
      </c>
      <c r="J11" s="42" t="s">
        <v>198</v>
      </c>
      <c r="K11" s="42" t="s">
        <v>199</v>
      </c>
      <c r="L11" s="42" t="s">
        <v>200</v>
      </c>
      <c r="M11" s="43" t="s">
        <v>162</v>
      </c>
    </row>
    <row r="12" customFormat="false" ht="57.75" hidden="false" customHeight="true" outlineLevel="0" collapsed="false">
      <c r="A12" s="35" t="s">
        <v>201</v>
      </c>
      <c r="B12" s="46" t="s">
        <v>194</v>
      </c>
      <c r="C12" s="37" t="s">
        <v>202</v>
      </c>
      <c r="D12" s="37" t="s">
        <v>203</v>
      </c>
      <c r="E12" s="37" t="s">
        <v>204</v>
      </c>
      <c r="F12" s="38" t="n">
        <v>4</v>
      </c>
      <c r="G12" s="38" t="n">
        <v>4</v>
      </c>
      <c r="H12" s="39" t="n">
        <f aca="false">F12*G12</f>
        <v>16</v>
      </c>
      <c r="I12" s="44" t="s">
        <v>167</v>
      </c>
      <c r="J12" s="37" t="s">
        <v>205</v>
      </c>
      <c r="K12" s="37" t="s">
        <v>206</v>
      </c>
      <c r="L12" s="37" t="s">
        <v>207</v>
      </c>
      <c r="M12" s="41" t="s">
        <v>162</v>
      </c>
    </row>
    <row r="13" customFormat="false" ht="57.75" hidden="false" customHeight="true" outlineLevel="0" collapsed="false">
      <c r="A13" s="35" t="s">
        <v>208</v>
      </c>
      <c r="B13" s="46" t="s">
        <v>194</v>
      </c>
      <c r="C13" s="42" t="s">
        <v>209</v>
      </c>
      <c r="D13" s="42" t="s">
        <v>210</v>
      </c>
      <c r="E13" s="42" t="s">
        <v>211</v>
      </c>
      <c r="F13" s="38" t="n">
        <v>3</v>
      </c>
      <c r="G13" s="38" t="n">
        <v>3</v>
      </c>
      <c r="H13" s="39" t="n">
        <f aca="false">F13*G13</f>
        <v>9</v>
      </c>
      <c r="I13" s="47" t="s">
        <v>79</v>
      </c>
      <c r="J13" s="42" t="s">
        <v>212</v>
      </c>
      <c r="K13" s="42" t="s">
        <v>213</v>
      </c>
      <c r="L13" s="42" t="s">
        <v>214</v>
      </c>
      <c r="M13" s="43" t="s">
        <v>148</v>
      </c>
    </row>
    <row r="14" customFormat="false" ht="57.75" hidden="false" customHeight="true" outlineLevel="0" collapsed="false">
      <c r="A14" s="35" t="s">
        <v>215</v>
      </c>
      <c r="B14" s="48" t="s">
        <v>216</v>
      </c>
      <c r="C14" s="37" t="s">
        <v>217</v>
      </c>
      <c r="D14" s="37" t="s">
        <v>218</v>
      </c>
      <c r="E14" s="37" t="s">
        <v>219</v>
      </c>
      <c r="F14" s="38" t="n">
        <v>5</v>
      </c>
      <c r="G14" s="38" t="n">
        <v>5</v>
      </c>
      <c r="H14" s="39" t="n">
        <f aca="false">F14*G14</f>
        <v>25</v>
      </c>
      <c r="I14" s="40" t="s">
        <v>145</v>
      </c>
      <c r="J14" s="37" t="s">
        <v>220</v>
      </c>
      <c r="K14" s="37" t="s">
        <v>221</v>
      </c>
      <c r="L14" s="37" t="s">
        <v>222</v>
      </c>
      <c r="M14" s="41" t="s">
        <v>162</v>
      </c>
    </row>
    <row r="15" customFormat="false" ht="57.75" hidden="false" customHeight="true" outlineLevel="0" collapsed="false">
      <c r="A15" s="35" t="s">
        <v>223</v>
      </c>
      <c r="B15" s="48" t="s">
        <v>216</v>
      </c>
      <c r="C15" s="42" t="s">
        <v>224</v>
      </c>
      <c r="D15" s="42" t="s">
        <v>225</v>
      </c>
      <c r="E15" s="42" t="s">
        <v>226</v>
      </c>
      <c r="F15" s="38" t="n">
        <v>4</v>
      </c>
      <c r="G15" s="38" t="n">
        <v>3</v>
      </c>
      <c r="H15" s="39" t="n">
        <f aca="false">F15*G15</f>
        <v>12</v>
      </c>
      <c r="I15" s="44" t="s">
        <v>167</v>
      </c>
      <c r="J15" s="42" t="s">
        <v>227</v>
      </c>
      <c r="K15" s="42" t="s">
        <v>228</v>
      </c>
      <c r="L15" s="42" t="s">
        <v>229</v>
      </c>
      <c r="M15" s="43" t="s">
        <v>230</v>
      </c>
    </row>
    <row r="16" customFormat="false" ht="57.75" hidden="false" customHeight="true" outlineLevel="0" collapsed="false">
      <c r="A16" s="35" t="s">
        <v>231</v>
      </c>
      <c r="B16" s="48" t="s">
        <v>216</v>
      </c>
      <c r="C16" s="37" t="s">
        <v>232</v>
      </c>
      <c r="D16" s="37" t="s">
        <v>233</v>
      </c>
      <c r="E16" s="37" t="s">
        <v>234</v>
      </c>
      <c r="F16" s="38" t="n">
        <v>4</v>
      </c>
      <c r="G16" s="38" t="n">
        <v>4</v>
      </c>
      <c r="H16" s="39" t="n">
        <f aca="false">F16*G16</f>
        <v>16</v>
      </c>
      <c r="I16" s="44" t="s">
        <v>167</v>
      </c>
      <c r="J16" s="37" t="s">
        <v>235</v>
      </c>
      <c r="K16" s="37" t="s">
        <v>236</v>
      </c>
      <c r="L16" s="37" t="s">
        <v>237</v>
      </c>
      <c r="M16" s="41" t="s">
        <v>162</v>
      </c>
    </row>
    <row r="17" customFormat="false" ht="57.75" hidden="false" customHeight="true" outlineLevel="0" collapsed="false">
      <c r="A17" s="35" t="s">
        <v>238</v>
      </c>
      <c r="B17" s="49" t="s">
        <v>239</v>
      </c>
      <c r="C17" s="42" t="s">
        <v>240</v>
      </c>
      <c r="D17" s="42" t="s">
        <v>241</v>
      </c>
      <c r="E17" s="42" t="s">
        <v>242</v>
      </c>
      <c r="F17" s="38" t="n">
        <v>4</v>
      </c>
      <c r="G17" s="38" t="n">
        <v>4</v>
      </c>
      <c r="H17" s="39" t="n">
        <f aca="false">F17*G17</f>
        <v>16</v>
      </c>
      <c r="I17" s="44" t="s">
        <v>167</v>
      </c>
      <c r="J17" s="42" t="s">
        <v>243</v>
      </c>
      <c r="K17" s="42" t="s">
        <v>244</v>
      </c>
      <c r="L17" s="42" t="s">
        <v>120</v>
      </c>
      <c r="M17" s="43" t="s">
        <v>148</v>
      </c>
    </row>
    <row r="18" customFormat="false" ht="57.75" hidden="false" customHeight="true" outlineLevel="0" collapsed="false">
      <c r="A18" s="35" t="s">
        <v>245</v>
      </c>
      <c r="B18" s="49" t="s">
        <v>239</v>
      </c>
      <c r="C18" s="37" t="s">
        <v>246</v>
      </c>
      <c r="D18" s="37" t="s">
        <v>247</v>
      </c>
      <c r="E18" s="37" t="s">
        <v>248</v>
      </c>
      <c r="F18" s="38" t="n">
        <v>3</v>
      </c>
      <c r="G18" s="38" t="n">
        <v>4</v>
      </c>
      <c r="H18" s="39" t="n">
        <f aca="false">F18*G18</f>
        <v>12</v>
      </c>
      <c r="I18" s="44" t="s">
        <v>167</v>
      </c>
      <c r="J18" s="37" t="s">
        <v>249</v>
      </c>
      <c r="K18" s="37" t="s">
        <v>250</v>
      </c>
      <c r="L18" s="37" t="s">
        <v>251</v>
      </c>
      <c r="M18" s="41" t="s">
        <v>148</v>
      </c>
    </row>
    <row r="19" customFormat="false" ht="57.75" hidden="false" customHeight="true" outlineLevel="0" collapsed="false">
      <c r="A19" s="35" t="s">
        <v>252</v>
      </c>
      <c r="B19" s="50" t="s">
        <v>253</v>
      </c>
      <c r="C19" s="42" t="s">
        <v>254</v>
      </c>
      <c r="D19" s="42" t="s">
        <v>255</v>
      </c>
      <c r="E19" s="42" t="s">
        <v>256</v>
      </c>
      <c r="F19" s="38" t="n">
        <v>5</v>
      </c>
      <c r="G19" s="38" t="n">
        <v>5</v>
      </c>
      <c r="H19" s="39" t="n">
        <f aca="false">F19*G19</f>
        <v>25</v>
      </c>
      <c r="I19" s="40" t="s">
        <v>145</v>
      </c>
      <c r="J19" s="42" t="s">
        <v>257</v>
      </c>
      <c r="K19" s="42" t="s">
        <v>258</v>
      </c>
      <c r="L19" s="42" t="s">
        <v>259</v>
      </c>
      <c r="M19" s="43" t="s">
        <v>162</v>
      </c>
    </row>
    <row r="20" customFormat="false" ht="57.75" hidden="false" customHeight="true" outlineLevel="0" collapsed="false">
      <c r="A20" s="35" t="s">
        <v>260</v>
      </c>
      <c r="B20" s="50" t="s">
        <v>253</v>
      </c>
      <c r="C20" s="37" t="s">
        <v>261</v>
      </c>
      <c r="D20" s="37" t="s">
        <v>262</v>
      </c>
      <c r="E20" s="37" t="s">
        <v>263</v>
      </c>
      <c r="F20" s="38" t="n">
        <v>5</v>
      </c>
      <c r="G20" s="38" t="n">
        <v>4</v>
      </c>
      <c r="H20" s="39" t="n">
        <f aca="false">F20*G20</f>
        <v>20</v>
      </c>
      <c r="I20" s="40" t="s">
        <v>145</v>
      </c>
      <c r="J20" s="37" t="s">
        <v>264</v>
      </c>
      <c r="K20" s="37" t="s">
        <v>265</v>
      </c>
      <c r="L20" s="37" t="s">
        <v>266</v>
      </c>
      <c r="M20" s="41" t="s">
        <v>162</v>
      </c>
    </row>
    <row r="21" customFormat="false" ht="57.75" hidden="false" customHeight="true" outlineLevel="0" collapsed="false">
      <c r="A21" s="35" t="s">
        <v>267</v>
      </c>
      <c r="B21" s="50" t="s">
        <v>253</v>
      </c>
      <c r="C21" s="42" t="s">
        <v>268</v>
      </c>
      <c r="D21" s="42" t="s">
        <v>269</v>
      </c>
      <c r="E21" s="42" t="s">
        <v>270</v>
      </c>
      <c r="F21" s="38" t="n">
        <v>4</v>
      </c>
      <c r="G21" s="38" t="n">
        <v>5</v>
      </c>
      <c r="H21" s="39" t="n">
        <f aca="false">F21*G21</f>
        <v>20</v>
      </c>
      <c r="I21" s="40" t="s">
        <v>145</v>
      </c>
      <c r="J21" s="42" t="s">
        <v>271</v>
      </c>
      <c r="K21" s="42" t="s">
        <v>272</v>
      </c>
      <c r="L21" s="42" t="s">
        <v>273</v>
      </c>
      <c r="M21" s="43" t="s">
        <v>162</v>
      </c>
    </row>
    <row r="22" customFormat="false" ht="57.75" hidden="false" customHeight="true" outlineLevel="0" collapsed="false">
      <c r="A22" s="35" t="s">
        <v>274</v>
      </c>
      <c r="B22" s="51" t="s">
        <v>275</v>
      </c>
      <c r="C22" s="37" t="s">
        <v>276</v>
      </c>
      <c r="D22" s="37" t="s">
        <v>277</v>
      </c>
      <c r="E22" s="37" t="s">
        <v>278</v>
      </c>
      <c r="F22" s="38" t="n">
        <v>3</v>
      </c>
      <c r="G22" s="38" t="n">
        <v>4</v>
      </c>
      <c r="H22" s="39" t="n">
        <f aca="false">F22*G22</f>
        <v>12</v>
      </c>
      <c r="I22" s="44" t="s">
        <v>167</v>
      </c>
      <c r="J22" s="37" t="s">
        <v>279</v>
      </c>
      <c r="K22" s="37" t="s">
        <v>280</v>
      </c>
      <c r="L22" s="37" t="s">
        <v>117</v>
      </c>
      <c r="M22" s="41" t="s">
        <v>148</v>
      </c>
    </row>
    <row r="23" customFormat="false" ht="57.75" hidden="false" customHeight="true" outlineLevel="0" collapsed="false">
      <c r="A23" s="35" t="s">
        <v>281</v>
      </c>
      <c r="B23" s="51" t="s">
        <v>275</v>
      </c>
      <c r="C23" s="42" t="s">
        <v>282</v>
      </c>
      <c r="D23" s="42" t="s">
        <v>283</v>
      </c>
      <c r="E23" s="42" t="s">
        <v>284</v>
      </c>
      <c r="F23" s="38" t="n">
        <v>3</v>
      </c>
      <c r="G23" s="38" t="n">
        <v>3</v>
      </c>
      <c r="H23" s="39" t="n">
        <f aca="false">F23*G23</f>
        <v>9</v>
      </c>
      <c r="I23" s="47" t="s">
        <v>79</v>
      </c>
      <c r="J23" s="42" t="s">
        <v>285</v>
      </c>
      <c r="K23" s="42" t="s">
        <v>286</v>
      </c>
      <c r="L23" s="42" t="s">
        <v>287</v>
      </c>
      <c r="M23" s="43" t="s">
        <v>148</v>
      </c>
    </row>
    <row r="24" customFormat="false" ht="57.75" hidden="false" customHeight="true" outlineLevel="0" collapsed="false">
      <c r="A24" s="35" t="s">
        <v>288</v>
      </c>
      <c r="B24" s="52" t="s">
        <v>289</v>
      </c>
      <c r="C24" s="37" t="s">
        <v>290</v>
      </c>
      <c r="D24" s="37" t="s">
        <v>291</v>
      </c>
      <c r="E24" s="37" t="s">
        <v>292</v>
      </c>
      <c r="F24" s="38" t="n">
        <v>2</v>
      </c>
      <c r="G24" s="38" t="n">
        <v>3</v>
      </c>
      <c r="H24" s="39" t="n">
        <f aca="false">F24*G24</f>
        <v>6</v>
      </c>
      <c r="I24" s="47" t="s">
        <v>79</v>
      </c>
      <c r="J24" s="37" t="s">
        <v>293</v>
      </c>
      <c r="K24" s="37" t="s">
        <v>294</v>
      </c>
      <c r="L24" s="37" t="s">
        <v>295</v>
      </c>
      <c r="M24" s="41" t="s">
        <v>148</v>
      </c>
    </row>
    <row r="25" customFormat="false" ht="57.75" hidden="false" customHeight="true" outlineLevel="0" collapsed="false">
      <c r="A25" s="35" t="s">
        <v>296</v>
      </c>
      <c r="B25" s="53" t="s">
        <v>297</v>
      </c>
      <c r="C25" s="42" t="s">
        <v>298</v>
      </c>
      <c r="D25" s="42" t="s">
        <v>299</v>
      </c>
      <c r="E25" s="42" t="s">
        <v>300</v>
      </c>
      <c r="F25" s="38" t="n">
        <v>4</v>
      </c>
      <c r="G25" s="38" t="n">
        <v>4</v>
      </c>
      <c r="H25" s="39" t="n">
        <f aca="false">F25*G25</f>
        <v>16</v>
      </c>
      <c r="I25" s="44" t="s">
        <v>167</v>
      </c>
      <c r="J25" s="42" t="s">
        <v>301</v>
      </c>
      <c r="K25" s="42" t="s">
        <v>302</v>
      </c>
      <c r="L25" s="42" t="s">
        <v>303</v>
      </c>
      <c r="M25" s="43" t="s">
        <v>162</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3" min="3" style="1" width="14"/>
    <col collapsed="false" customWidth="true" hidden="false" outlineLevel="0" max="5" min="4" style="1" width="30"/>
    <col collapsed="false" customWidth="true" hidden="false" outlineLevel="0" max="6" min="6" style="1" width="18"/>
    <col collapsed="false" customWidth="true" hidden="false" outlineLevel="0" max="8" min="7" style="1" width="14"/>
  </cols>
  <sheetData>
    <row r="1" customFormat="false" ht="37.5" hidden="false" customHeight="true" outlineLevel="0" collapsed="false">
      <c r="A1" s="9" t="s">
        <v>304</v>
      </c>
      <c r="B1" s="9"/>
      <c r="C1" s="9"/>
      <c r="D1" s="9"/>
      <c r="E1" s="9"/>
      <c r="F1" s="9"/>
      <c r="G1" s="9"/>
      <c r="H1" s="9"/>
    </row>
    <row r="2" customFormat="false" ht="19.5" hidden="false" customHeight="true" outlineLevel="0" collapsed="false">
      <c r="A2" s="33" t="s">
        <v>305</v>
      </c>
      <c r="B2" s="33"/>
      <c r="C2" s="33"/>
      <c r="D2" s="33"/>
      <c r="E2" s="33"/>
      <c r="F2" s="33"/>
      <c r="G2" s="33"/>
      <c r="H2" s="33"/>
    </row>
    <row r="3" customFormat="false" ht="30" hidden="false" customHeight="true" outlineLevel="0" collapsed="false">
      <c r="A3" s="34" t="s">
        <v>306</v>
      </c>
      <c r="B3" s="34" t="s">
        <v>307</v>
      </c>
      <c r="C3" s="34" t="s">
        <v>308</v>
      </c>
      <c r="D3" s="34" t="s">
        <v>309</v>
      </c>
      <c r="E3" s="34" t="s">
        <v>310</v>
      </c>
      <c r="F3" s="34" t="s">
        <v>311</v>
      </c>
      <c r="G3" s="34" t="s">
        <v>312</v>
      </c>
      <c r="H3" s="34" t="s">
        <v>313</v>
      </c>
    </row>
    <row r="4" customFormat="false" ht="69.75" hidden="false" customHeight="true" outlineLevel="0" collapsed="false">
      <c r="A4" s="35" t="s">
        <v>314</v>
      </c>
      <c r="B4" s="26" t="s">
        <v>315</v>
      </c>
      <c r="C4" s="41" t="s">
        <v>316</v>
      </c>
      <c r="D4" s="37" t="s">
        <v>317</v>
      </c>
      <c r="E4" s="37" t="s">
        <v>318</v>
      </c>
      <c r="F4" s="37" t="s">
        <v>99</v>
      </c>
      <c r="G4" s="41" t="s">
        <v>96</v>
      </c>
      <c r="H4" s="54" t="s">
        <v>319</v>
      </c>
    </row>
    <row r="5" customFormat="false" ht="69.75" hidden="false" customHeight="true" outlineLevel="0" collapsed="false">
      <c r="A5" s="35" t="s">
        <v>320</v>
      </c>
      <c r="B5" s="26" t="s">
        <v>321</v>
      </c>
      <c r="C5" s="43" t="s">
        <v>322</v>
      </c>
      <c r="D5" s="42" t="s">
        <v>323</v>
      </c>
      <c r="E5" s="42" t="s">
        <v>324</v>
      </c>
      <c r="F5" s="42" t="s">
        <v>325</v>
      </c>
      <c r="G5" s="43" t="s">
        <v>96</v>
      </c>
      <c r="H5" s="54" t="s">
        <v>319</v>
      </c>
    </row>
    <row r="6" customFormat="false" ht="69.75" hidden="false" customHeight="true" outlineLevel="0" collapsed="false">
      <c r="A6" s="35" t="s">
        <v>326</v>
      </c>
      <c r="B6" s="26" t="s">
        <v>327</v>
      </c>
      <c r="C6" s="41" t="s">
        <v>328</v>
      </c>
      <c r="D6" s="37" t="s">
        <v>329</v>
      </c>
      <c r="E6" s="37" t="s">
        <v>330</v>
      </c>
      <c r="F6" s="37" t="s">
        <v>229</v>
      </c>
      <c r="G6" s="41" t="s">
        <v>96</v>
      </c>
      <c r="H6" s="54" t="s">
        <v>319</v>
      </c>
    </row>
    <row r="7" customFormat="false" ht="69.75" hidden="false" customHeight="true" outlineLevel="0" collapsed="false">
      <c r="A7" s="35" t="s">
        <v>331</v>
      </c>
      <c r="B7" s="26" t="s">
        <v>332</v>
      </c>
      <c r="C7" s="43" t="s">
        <v>333</v>
      </c>
      <c r="D7" s="42" t="s">
        <v>334</v>
      </c>
      <c r="E7" s="42" t="s">
        <v>335</v>
      </c>
      <c r="F7" s="42" t="s">
        <v>336</v>
      </c>
      <c r="G7" s="43" t="s">
        <v>96</v>
      </c>
      <c r="H7" s="54" t="s">
        <v>319</v>
      </c>
    </row>
    <row r="8" customFormat="false" ht="69.75" hidden="false" customHeight="true" outlineLevel="0" collapsed="false">
      <c r="A8" s="35" t="s">
        <v>337</v>
      </c>
      <c r="B8" s="26" t="s">
        <v>338</v>
      </c>
      <c r="C8" s="41" t="s">
        <v>339</v>
      </c>
      <c r="D8" s="37" t="s">
        <v>340</v>
      </c>
      <c r="E8" s="37" t="s">
        <v>341</v>
      </c>
      <c r="F8" s="37" t="s">
        <v>117</v>
      </c>
      <c r="G8" s="41" t="s">
        <v>96</v>
      </c>
      <c r="H8" s="54" t="s">
        <v>319</v>
      </c>
    </row>
    <row r="9" customFormat="false" ht="69.75" hidden="false" customHeight="true" outlineLevel="0" collapsed="false">
      <c r="A9" s="35" t="s">
        <v>342</v>
      </c>
      <c r="B9" s="26" t="s">
        <v>343</v>
      </c>
      <c r="C9" s="43" t="s">
        <v>344</v>
      </c>
      <c r="D9" s="42" t="s">
        <v>345</v>
      </c>
      <c r="E9" s="42" t="s">
        <v>346</v>
      </c>
      <c r="F9" s="42" t="s">
        <v>120</v>
      </c>
      <c r="G9" s="43" t="s">
        <v>96</v>
      </c>
      <c r="H9" s="54" t="s">
        <v>319</v>
      </c>
    </row>
    <row r="10" customFormat="false" ht="69.75" hidden="false" customHeight="true" outlineLevel="0" collapsed="false">
      <c r="A10" s="35" t="s">
        <v>347</v>
      </c>
      <c r="B10" s="26" t="s">
        <v>348</v>
      </c>
      <c r="C10" s="41" t="s">
        <v>349</v>
      </c>
      <c r="D10" s="37" t="s">
        <v>350</v>
      </c>
      <c r="E10" s="37" t="s">
        <v>351</v>
      </c>
      <c r="F10" s="37" t="s">
        <v>113</v>
      </c>
      <c r="G10" s="41" t="s">
        <v>96</v>
      </c>
      <c r="H10" s="54" t="s">
        <v>319</v>
      </c>
    </row>
    <row r="11" customFormat="false" ht="69.75" hidden="false" customHeight="true" outlineLevel="0" collapsed="false">
      <c r="A11" s="35" t="s">
        <v>352</v>
      </c>
      <c r="B11" s="26" t="s">
        <v>353</v>
      </c>
      <c r="C11" s="43" t="s">
        <v>354</v>
      </c>
      <c r="D11" s="42" t="s">
        <v>355</v>
      </c>
      <c r="E11" s="42" t="s">
        <v>356</v>
      </c>
      <c r="F11" s="42" t="s">
        <v>303</v>
      </c>
      <c r="G11" s="43" t="s">
        <v>96</v>
      </c>
      <c r="H11" s="54" t="s">
        <v>319</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4" min="3" style="1" width="14"/>
    <col collapsed="false" customWidth="true" hidden="false" outlineLevel="0" max="5" min="5" style="1" width="28"/>
    <col collapsed="false" customWidth="true" hidden="false" outlineLevel="0" max="8" min="6" style="1" width="26"/>
    <col collapsed="false" customWidth="true" hidden="false" outlineLevel="0" max="9" min="9" style="1" width="18"/>
  </cols>
  <sheetData>
    <row r="1" customFormat="false" ht="37.5" hidden="false" customHeight="true" outlineLevel="0" collapsed="false">
      <c r="A1" s="9" t="s">
        <v>357</v>
      </c>
      <c r="B1" s="9"/>
      <c r="C1" s="9"/>
      <c r="D1" s="9"/>
      <c r="E1" s="9"/>
      <c r="F1" s="9"/>
      <c r="G1" s="9"/>
      <c r="H1" s="9"/>
      <c r="I1" s="9"/>
    </row>
    <row r="2" customFormat="false" ht="19.5" hidden="false" customHeight="true" outlineLevel="0" collapsed="false">
      <c r="A2" s="33" t="s">
        <v>358</v>
      </c>
      <c r="B2" s="33"/>
      <c r="C2" s="33"/>
      <c r="D2" s="33"/>
      <c r="E2" s="33"/>
      <c r="F2" s="33"/>
      <c r="G2" s="33"/>
      <c r="H2" s="33"/>
      <c r="I2" s="33"/>
    </row>
    <row r="3" customFormat="false" ht="30" hidden="false" customHeight="true" outlineLevel="0" collapsed="false">
      <c r="A3" s="34" t="s">
        <v>359</v>
      </c>
      <c r="B3" s="34" t="s">
        <v>360</v>
      </c>
      <c r="C3" s="34" t="s">
        <v>361</v>
      </c>
      <c r="D3" s="34" t="s">
        <v>362</v>
      </c>
      <c r="E3" s="34" t="s">
        <v>363</v>
      </c>
      <c r="F3" s="34" t="s">
        <v>364</v>
      </c>
      <c r="G3" s="34" t="s">
        <v>365</v>
      </c>
      <c r="H3" s="34" t="s">
        <v>366</v>
      </c>
      <c r="I3" s="34" t="s">
        <v>367</v>
      </c>
    </row>
    <row r="4" customFormat="false" ht="109.5" hidden="false" customHeight="true" outlineLevel="0" collapsed="false">
      <c r="A4" s="55" t="s">
        <v>368</v>
      </c>
      <c r="B4" s="56" t="s">
        <v>369</v>
      </c>
      <c r="C4" s="57" t="s">
        <v>370</v>
      </c>
      <c r="D4" s="58" t="s">
        <v>371</v>
      </c>
      <c r="E4" s="59" t="s">
        <v>372</v>
      </c>
      <c r="F4" s="59" t="s">
        <v>373</v>
      </c>
      <c r="G4" s="59" t="s">
        <v>374</v>
      </c>
      <c r="H4" s="59" t="s">
        <v>375</v>
      </c>
      <c r="I4" s="59" t="s">
        <v>376</v>
      </c>
    </row>
    <row r="5" customFormat="false" ht="109.5" hidden="false" customHeight="true" outlineLevel="0" collapsed="false">
      <c r="A5" s="55" t="s">
        <v>377</v>
      </c>
      <c r="B5" s="56" t="s">
        <v>142</v>
      </c>
      <c r="C5" s="57" t="s">
        <v>370</v>
      </c>
      <c r="D5" s="58" t="s">
        <v>378</v>
      </c>
      <c r="E5" s="60" t="s">
        <v>379</v>
      </c>
      <c r="F5" s="60" t="s">
        <v>380</v>
      </c>
      <c r="G5" s="60" t="s">
        <v>381</v>
      </c>
      <c r="H5" s="60" t="s">
        <v>382</v>
      </c>
      <c r="I5" s="60" t="s">
        <v>383</v>
      </c>
    </row>
    <row r="6" customFormat="false" ht="109.5" hidden="false" customHeight="true" outlineLevel="0" collapsed="false">
      <c r="A6" s="55" t="s">
        <v>384</v>
      </c>
      <c r="B6" s="56" t="s">
        <v>385</v>
      </c>
      <c r="C6" s="61" t="s">
        <v>386</v>
      </c>
      <c r="D6" s="58" t="s">
        <v>387</v>
      </c>
      <c r="E6" s="59" t="s">
        <v>388</v>
      </c>
      <c r="F6" s="59" t="s">
        <v>389</v>
      </c>
      <c r="G6" s="59" t="s">
        <v>390</v>
      </c>
      <c r="H6" s="59" t="s">
        <v>391</v>
      </c>
      <c r="I6" s="59" t="s">
        <v>392</v>
      </c>
    </row>
    <row r="7" customFormat="false" ht="109.5" hidden="false" customHeight="true" outlineLevel="0" collapsed="false">
      <c r="A7" s="55" t="s">
        <v>393</v>
      </c>
      <c r="B7" s="56" t="s">
        <v>394</v>
      </c>
      <c r="C7" s="61" t="s">
        <v>386</v>
      </c>
      <c r="D7" s="58" t="s">
        <v>371</v>
      </c>
      <c r="E7" s="60" t="s">
        <v>395</v>
      </c>
      <c r="F7" s="60" t="s">
        <v>396</v>
      </c>
      <c r="G7" s="60" t="s">
        <v>397</v>
      </c>
      <c r="H7" s="60" t="s">
        <v>398</v>
      </c>
      <c r="I7" s="60" t="s">
        <v>399</v>
      </c>
    </row>
    <row r="8" customFormat="false" ht="109.5" hidden="false" customHeight="true" outlineLevel="0" collapsed="false">
      <c r="A8" s="55" t="s">
        <v>400</v>
      </c>
      <c r="B8" s="56" t="s">
        <v>401</v>
      </c>
      <c r="C8" s="61" t="s">
        <v>386</v>
      </c>
      <c r="D8" s="58" t="s">
        <v>402</v>
      </c>
      <c r="E8" s="59" t="s">
        <v>403</v>
      </c>
      <c r="F8" s="59" t="s">
        <v>404</v>
      </c>
      <c r="G8" s="59" t="s">
        <v>405</v>
      </c>
      <c r="H8" s="59" t="s">
        <v>406</v>
      </c>
      <c r="I8" s="59" t="s">
        <v>407</v>
      </c>
    </row>
  </sheetData>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4" min="3" style="1" width="22"/>
    <col collapsed="false" customWidth="true" hidden="false" outlineLevel="0" max="5" min="5" style="1" width="20"/>
    <col collapsed="false" customWidth="true" hidden="false" outlineLevel="0" max="7" min="6" style="1" width="16"/>
    <col collapsed="false" customWidth="true" hidden="false" outlineLevel="0" max="8" min="8" style="1" width="24"/>
  </cols>
  <sheetData>
    <row r="1" customFormat="false" ht="37.5" hidden="false" customHeight="true" outlineLevel="0" collapsed="false">
      <c r="A1" s="9" t="s">
        <v>408</v>
      </c>
      <c r="B1" s="9"/>
      <c r="C1" s="9"/>
      <c r="D1" s="9"/>
      <c r="E1" s="9"/>
      <c r="F1" s="9"/>
      <c r="G1" s="9"/>
      <c r="H1" s="9"/>
    </row>
    <row r="2" customFormat="false" ht="19.5" hidden="false" customHeight="true" outlineLevel="0" collapsed="false">
      <c r="A2" s="33" t="s">
        <v>409</v>
      </c>
      <c r="B2" s="33"/>
      <c r="C2" s="33"/>
      <c r="D2" s="33"/>
      <c r="E2" s="33"/>
      <c r="F2" s="33"/>
      <c r="G2" s="33"/>
      <c r="H2" s="33"/>
    </row>
    <row r="3" customFormat="false" ht="30" hidden="false" customHeight="true" outlineLevel="0" collapsed="false">
      <c r="A3" s="34" t="s">
        <v>127</v>
      </c>
      <c r="B3" s="34" t="s">
        <v>128</v>
      </c>
      <c r="C3" s="34" t="s">
        <v>129</v>
      </c>
      <c r="D3" s="34" t="s">
        <v>410</v>
      </c>
      <c r="E3" s="34" t="s">
        <v>411</v>
      </c>
      <c r="F3" s="34" t="s">
        <v>412</v>
      </c>
      <c r="G3" s="34" t="s">
        <v>413</v>
      </c>
      <c r="H3" s="34" t="s">
        <v>414</v>
      </c>
    </row>
    <row r="4" customFormat="false" ht="30" hidden="false" customHeight="true" outlineLevel="0" collapsed="false">
      <c r="A4" s="35" t="s">
        <v>140</v>
      </c>
      <c r="B4" s="36" t="s">
        <v>141</v>
      </c>
      <c r="C4" s="37" t="s">
        <v>142</v>
      </c>
      <c r="D4" s="37" t="s">
        <v>415</v>
      </c>
      <c r="E4" s="41" t="s">
        <v>416</v>
      </c>
      <c r="F4" s="62" t="s">
        <v>417</v>
      </c>
      <c r="G4" s="63" t="s">
        <v>418</v>
      </c>
      <c r="H4" s="37" t="s">
        <v>419</v>
      </c>
    </row>
    <row r="5" customFormat="false" ht="30" hidden="false" customHeight="true" outlineLevel="0" collapsed="false">
      <c r="A5" s="35" t="s">
        <v>149</v>
      </c>
      <c r="B5" s="36" t="s">
        <v>141</v>
      </c>
      <c r="C5" s="42" t="s">
        <v>420</v>
      </c>
      <c r="D5" s="42" t="s">
        <v>421</v>
      </c>
      <c r="E5" s="43" t="s">
        <v>422</v>
      </c>
      <c r="F5" s="64" t="s">
        <v>423</v>
      </c>
      <c r="G5" s="63" t="s">
        <v>418</v>
      </c>
      <c r="H5" s="42" t="s">
        <v>424</v>
      </c>
    </row>
    <row r="6" customFormat="false" ht="30" hidden="false" customHeight="true" outlineLevel="0" collapsed="false">
      <c r="A6" s="35" t="s">
        <v>156</v>
      </c>
      <c r="B6" s="36" t="s">
        <v>141</v>
      </c>
      <c r="C6" s="37" t="s">
        <v>425</v>
      </c>
      <c r="D6" s="37" t="s">
        <v>426</v>
      </c>
      <c r="E6" s="41" t="s">
        <v>427</v>
      </c>
      <c r="F6" s="62" t="s">
        <v>417</v>
      </c>
      <c r="G6" s="65" t="s">
        <v>428</v>
      </c>
      <c r="H6" s="37" t="s">
        <v>429</v>
      </c>
    </row>
    <row r="7" customFormat="false" ht="30" hidden="false" customHeight="true" outlineLevel="0" collapsed="false">
      <c r="A7" s="35" t="s">
        <v>163</v>
      </c>
      <c r="B7" s="36" t="s">
        <v>141</v>
      </c>
      <c r="C7" s="42" t="s">
        <v>430</v>
      </c>
      <c r="D7" s="42" t="s">
        <v>431</v>
      </c>
      <c r="E7" s="43" t="s">
        <v>432</v>
      </c>
      <c r="F7" s="62" t="s">
        <v>417</v>
      </c>
      <c r="G7" s="63" t="s">
        <v>418</v>
      </c>
      <c r="H7" s="42" t="s">
        <v>433</v>
      </c>
    </row>
    <row r="8" customFormat="false" ht="30" hidden="false" customHeight="true" outlineLevel="0" collapsed="false">
      <c r="A8" s="35" t="s">
        <v>171</v>
      </c>
      <c r="B8" s="45" t="s">
        <v>172</v>
      </c>
      <c r="C8" s="37" t="s">
        <v>173</v>
      </c>
      <c r="D8" s="37" t="s">
        <v>434</v>
      </c>
      <c r="E8" s="41" t="s">
        <v>435</v>
      </c>
      <c r="F8" s="62" t="s">
        <v>417</v>
      </c>
      <c r="G8" s="65" t="s">
        <v>428</v>
      </c>
      <c r="H8" s="37" t="s">
        <v>436</v>
      </c>
    </row>
    <row r="9" customFormat="false" ht="30" hidden="false" customHeight="true" outlineLevel="0" collapsed="false">
      <c r="A9" s="35" t="s">
        <v>179</v>
      </c>
      <c r="B9" s="45" t="s">
        <v>172</v>
      </c>
      <c r="C9" s="42" t="s">
        <v>437</v>
      </c>
      <c r="D9" s="42" t="s">
        <v>438</v>
      </c>
      <c r="E9" s="43" t="s">
        <v>439</v>
      </c>
      <c r="F9" s="62" t="s">
        <v>417</v>
      </c>
      <c r="G9" s="65" t="s">
        <v>428</v>
      </c>
      <c r="H9" s="42" t="s">
        <v>440</v>
      </c>
    </row>
    <row r="10" customFormat="false" ht="30" hidden="false" customHeight="true" outlineLevel="0" collapsed="false">
      <c r="A10" s="35" t="s">
        <v>186</v>
      </c>
      <c r="B10" s="45" t="s">
        <v>172</v>
      </c>
      <c r="C10" s="37" t="s">
        <v>441</v>
      </c>
      <c r="D10" s="37" t="s">
        <v>442</v>
      </c>
      <c r="E10" s="41" t="s">
        <v>443</v>
      </c>
      <c r="F10" s="62" t="s">
        <v>417</v>
      </c>
      <c r="G10" s="63" t="s">
        <v>418</v>
      </c>
      <c r="H10" s="37" t="s">
        <v>444</v>
      </c>
    </row>
    <row r="11" customFormat="false" ht="30" hidden="false" customHeight="true" outlineLevel="0" collapsed="false">
      <c r="A11" s="35" t="s">
        <v>193</v>
      </c>
      <c r="B11" s="46" t="s">
        <v>194</v>
      </c>
      <c r="C11" s="42" t="s">
        <v>195</v>
      </c>
      <c r="D11" s="42" t="s">
        <v>445</v>
      </c>
      <c r="E11" s="43" t="s">
        <v>333</v>
      </c>
      <c r="F11" s="62" t="s">
        <v>417</v>
      </c>
      <c r="G11" s="63" t="s">
        <v>418</v>
      </c>
      <c r="H11" s="42" t="s">
        <v>446</v>
      </c>
    </row>
    <row r="12" customFormat="false" ht="30" hidden="false" customHeight="true" outlineLevel="0" collapsed="false">
      <c r="A12" s="35" t="s">
        <v>201</v>
      </c>
      <c r="B12" s="46" t="s">
        <v>194</v>
      </c>
      <c r="C12" s="37" t="s">
        <v>202</v>
      </c>
      <c r="D12" s="37" t="s">
        <v>447</v>
      </c>
      <c r="E12" s="41" t="s">
        <v>448</v>
      </c>
      <c r="F12" s="64" t="s">
        <v>423</v>
      </c>
      <c r="G12" s="65" t="s">
        <v>428</v>
      </c>
      <c r="H12" s="37" t="s">
        <v>449</v>
      </c>
    </row>
    <row r="13" customFormat="false" ht="30" hidden="false" customHeight="true" outlineLevel="0" collapsed="false">
      <c r="A13" s="35" t="s">
        <v>208</v>
      </c>
      <c r="B13" s="46" t="s">
        <v>194</v>
      </c>
      <c r="C13" s="42" t="s">
        <v>450</v>
      </c>
      <c r="D13" s="42" t="s">
        <v>451</v>
      </c>
      <c r="E13" s="43" t="s">
        <v>452</v>
      </c>
      <c r="F13" s="62" t="s">
        <v>417</v>
      </c>
      <c r="G13" s="63" t="s">
        <v>418</v>
      </c>
      <c r="H13" s="42" t="s">
        <v>453</v>
      </c>
    </row>
    <row r="14" customFormat="false" ht="30" hidden="false" customHeight="true" outlineLevel="0" collapsed="false">
      <c r="A14" s="35" t="s">
        <v>215</v>
      </c>
      <c r="B14" s="48" t="s">
        <v>216</v>
      </c>
      <c r="C14" s="37" t="s">
        <v>217</v>
      </c>
      <c r="D14" s="37" t="s">
        <v>454</v>
      </c>
      <c r="E14" s="41" t="s">
        <v>455</v>
      </c>
      <c r="F14" s="66" t="s">
        <v>456</v>
      </c>
      <c r="G14" s="65" t="s">
        <v>428</v>
      </c>
      <c r="H14" s="37" t="s">
        <v>457</v>
      </c>
    </row>
    <row r="15" customFormat="false" ht="30" hidden="false" customHeight="true" outlineLevel="0" collapsed="false">
      <c r="A15" s="35" t="s">
        <v>223</v>
      </c>
      <c r="B15" s="48" t="s">
        <v>216</v>
      </c>
      <c r="C15" s="42" t="s">
        <v>458</v>
      </c>
      <c r="D15" s="42" t="s">
        <v>459</v>
      </c>
      <c r="E15" s="43" t="s">
        <v>460</v>
      </c>
      <c r="F15" s="64" t="s">
        <v>423</v>
      </c>
      <c r="G15" s="67" t="s">
        <v>461</v>
      </c>
      <c r="H15" s="42" t="s">
        <v>462</v>
      </c>
    </row>
    <row r="16" customFormat="false" ht="30" hidden="false" customHeight="true" outlineLevel="0" collapsed="false">
      <c r="A16" s="35" t="s">
        <v>231</v>
      </c>
      <c r="B16" s="48" t="s">
        <v>216</v>
      </c>
      <c r="C16" s="37" t="s">
        <v>463</v>
      </c>
      <c r="D16" s="37" t="s">
        <v>464</v>
      </c>
      <c r="E16" s="41" t="s">
        <v>465</v>
      </c>
      <c r="F16" s="64" t="s">
        <v>423</v>
      </c>
      <c r="G16" s="65" t="s">
        <v>428</v>
      </c>
      <c r="H16" s="37" t="s">
        <v>466</v>
      </c>
    </row>
    <row r="17" customFormat="false" ht="30" hidden="false" customHeight="true" outlineLevel="0" collapsed="false">
      <c r="A17" s="35" t="s">
        <v>238</v>
      </c>
      <c r="B17" s="49" t="s">
        <v>239</v>
      </c>
      <c r="C17" s="42" t="s">
        <v>467</v>
      </c>
      <c r="D17" s="42" t="s">
        <v>468</v>
      </c>
      <c r="E17" s="43" t="s">
        <v>469</v>
      </c>
      <c r="F17" s="62" t="s">
        <v>417</v>
      </c>
      <c r="G17" s="63" t="s">
        <v>418</v>
      </c>
      <c r="H17" s="42" t="s">
        <v>470</v>
      </c>
    </row>
    <row r="18" customFormat="false" ht="30" hidden="false" customHeight="true" outlineLevel="0" collapsed="false">
      <c r="A18" s="35" t="s">
        <v>245</v>
      </c>
      <c r="B18" s="49" t="s">
        <v>239</v>
      </c>
      <c r="C18" s="37" t="s">
        <v>246</v>
      </c>
      <c r="D18" s="37" t="s">
        <v>471</v>
      </c>
      <c r="E18" s="41" t="s">
        <v>472</v>
      </c>
      <c r="F18" s="62" t="s">
        <v>417</v>
      </c>
      <c r="G18" s="65" t="s">
        <v>428</v>
      </c>
      <c r="H18" s="37" t="s">
        <v>473</v>
      </c>
    </row>
    <row r="19" customFormat="false" ht="30" hidden="false" customHeight="true" outlineLevel="0" collapsed="false">
      <c r="A19" s="35" t="s">
        <v>252</v>
      </c>
      <c r="B19" s="50" t="s">
        <v>253</v>
      </c>
      <c r="C19" s="42" t="s">
        <v>474</v>
      </c>
      <c r="D19" s="42" t="s">
        <v>475</v>
      </c>
      <c r="E19" s="43" t="s">
        <v>476</v>
      </c>
      <c r="F19" s="66" t="s">
        <v>456</v>
      </c>
      <c r="G19" s="63" t="s">
        <v>418</v>
      </c>
      <c r="H19" s="42" t="s">
        <v>477</v>
      </c>
    </row>
    <row r="20" customFormat="false" ht="30" hidden="false" customHeight="true" outlineLevel="0" collapsed="false">
      <c r="A20" s="35" t="s">
        <v>260</v>
      </c>
      <c r="B20" s="50" t="s">
        <v>253</v>
      </c>
      <c r="C20" s="37" t="s">
        <v>478</v>
      </c>
      <c r="D20" s="37" t="s">
        <v>479</v>
      </c>
      <c r="E20" s="41" t="s">
        <v>432</v>
      </c>
      <c r="F20" s="62" t="s">
        <v>417</v>
      </c>
      <c r="G20" s="63" t="s">
        <v>418</v>
      </c>
      <c r="H20" s="37" t="s">
        <v>480</v>
      </c>
    </row>
    <row r="21" customFormat="false" ht="30" hidden="false" customHeight="true" outlineLevel="0" collapsed="false">
      <c r="A21" s="35" t="s">
        <v>267</v>
      </c>
      <c r="B21" s="50" t="s">
        <v>253</v>
      </c>
      <c r="C21" s="42" t="s">
        <v>481</v>
      </c>
      <c r="D21" s="42" t="s">
        <v>482</v>
      </c>
      <c r="E21" s="43" t="s">
        <v>483</v>
      </c>
      <c r="F21" s="64" t="s">
        <v>423</v>
      </c>
      <c r="G21" s="63" t="s">
        <v>418</v>
      </c>
      <c r="H21" s="42" t="s">
        <v>484</v>
      </c>
    </row>
    <row r="22" customFormat="false" ht="30" hidden="false" customHeight="true" outlineLevel="0" collapsed="false">
      <c r="A22" s="35" t="s">
        <v>274</v>
      </c>
      <c r="B22" s="51" t="s">
        <v>275</v>
      </c>
      <c r="C22" s="37" t="s">
        <v>485</v>
      </c>
      <c r="D22" s="37" t="s">
        <v>486</v>
      </c>
      <c r="E22" s="41" t="s">
        <v>427</v>
      </c>
      <c r="F22" s="62" t="s">
        <v>417</v>
      </c>
      <c r="G22" s="65" t="s">
        <v>428</v>
      </c>
      <c r="H22" s="37" t="s">
        <v>487</v>
      </c>
    </row>
    <row r="23" customFormat="false" ht="30" hidden="false" customHeight="true" outlineLevel="0" collapsed="false">
      <c r="A23" s="35" t="s">
        <v>281</v>
      </c>
      <c r="B23" s="51" t="s">
        <v>275</v>
      </c>
      <c r="C23" s="42" t="s">
        <v>488</v>
      </c>
      <c r="D23" s="42" t="s">
        <v>489</v>
      </c>
      <c r="E23" s="43" t="s">
        <v>490</v>
      </c>
      <c r="F23" s="62" t="s">
        <v>417</v>
      </c>
      <c r="G23" s="63" t="s">
        <v>418</v>
      </c>
      <c r="H23" s="42" t="s">
        <v>491</v>
      </c>
    </row>
    <row r="24" customFormat="false" ht="30" hidden="false" customHeight="true" outlineLevel="0" collapsed="false">
      <c r="A24" s="35" t="s">
        <v>288</v>
      </c>
      <c r="B24" s="52" t="s">
        <v>289</v>
      </c>
      <c r="C24" s="37" t="s">
        <v>492</v>
      </c>
      <c r="D24" s="37" t="s">
        <v>493</v>
      </c>
      <c r="E24" s="41" t="s">
        <v>494</v>
      </c>
      <c r="F24" s="62" t="s">
        <v>417</v>
      </c>
      <c r="G24" s="67" t="s">
        <v>461</v>
      </c>
      <c r="H24" s="37" t="s">
        <v>495</v>
      </c>
    </row>
    <row r="25" customFormat="false" ht="30" hidden="false" customHeight="true" outlineLevel="0" collapsed="false">
      <c r="A25" s="35" t="s">
        <v>296</v>
      </c>
      <c r="B25" s="53" t="s">
        <v>297</v>
      </c>
      <c r="C25" s="42" t="s">
        <v>496</v>
      </c>
      <c r="D25" s="42" t="s">
        <v>297</v>
      </c>
      <c r="E25" s="43" t="s">
        <v>497</v>
      </c>
      <c r="F25" s="62" t="s">
        <v>417</v>
      </c>
      <c r="G25" s="65" t="s">
        <v>428</v>
      </c>
      <c r="H25" s="42" t="s">
        <v>498</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4" min="1" style="1" width="13"/>
  </cols>
  <sheetData>
    <row r="1" customFormat="false" ht="39.75" hidden="false" customHeight="true" outlineLevel="0" collapsed="false">
      <c r="A1" s="68" t="s">
        <v>499</v>
      </c>
      <c r="B1" s="68"/>
      <c r="C1" s="68"/>
      <c r="D1" s="68"/>
      <c r="E1" s="68"/>
      <c r="F1" s="68"/>
      <c r="G1" s="68"/>
      <c r="H1" s="68"/>
      <c r="I1" s="68"/>
      <c r="J1" s="68"/>
      <c r="K1" s="68"/>
      <c r="L1" s="68"/>
      <c r="M1" s="68"/>
      <c r="N1" s="68"/>
    </row>
    <row r="2" customFormat="false" ht="24" hidden="false" customHeight="true" outlineLevel="0" collapsed="false">
      <c r="A2" s="69" t="s">
        <v>500</v>
      </c>
      <c r="B2" s="69"/>
      <c r="C2" s="69"/>
      <c r="D2" s="69"/>
      <c r="E2" s="69"/>
      <c r="F2" s="69"/>
      <c r="G2" s="69"/>
      <c r="H2" s="69"/>
      <c r="I2" s="69"/>
      <c r="J2" s="69"/>
      <c r="K2" s="69"/>
      <c r="L2" s="69"/>
      <c r="M2" s="69"/>
      <c r="N2" s="69"/>
    </row>
    <row r="3" customFormat="false" ht="18" hidden="false" customHeight="true" outlineLevel="0" collapsed="false"/>
    <row r="4" customFormat="false" ht="19.5" hidden="false" customHeight="true" outlineLevel="0" collapsed="false">
      <c r="B4" s="70" t="s">
        <v>501</v>
      </c>
      <c r="C4" s="70"/>
      <c r="D4" s="71" t="s">
        <v>502</v>
      </c>
      <c r="E4" s="71"/>
      <c r="F4" s="72" t="s">
        <v>503</v>
      </c>
      <c r="G4" s="72"/>
      <c r="H4" s="73" t="s">
        <v>504</v>
      </c>
      <c r="I4" s="73"/>
      <c r="J4" s="74" t="s">
        <v>505</v>
      </c>
      <c r="K4" s="74"/>
      <c r="L4" s="21" t="s">
        <v>506</v>
      </c>
      <c r="M4" s="21"/>
      <c r="N4" s="22" t="s">
        <v>507</v>
      </c>
      <c r="O4" s="22"/>
    </row>
    <row r="5" customFormat="false" ht="37.5" hidden="false" customHeight="true" outlineLevel="0" collapsed="false">
      <c r="B5" s="75" t="n">
        <v>22</v>
      </c>
      <c r="C5" s="75"/>
      <c r="D5" s="76" t="n">
        <v>4</v>
      </c>
      <c r="E5" s="76"/>
      <c r="F5" s="77" t="n">
        <v>9</v>
      </c>
      <c r="G5" s="77"/>
      <c r="H5" s="78" t="n">
        <v>6</v>
      </c>
      <c r="I5" s="78"/>
      <c r="J5" s="79" t="n">
        <v>3</v>
      </c>
      <c r="K5" s="79"/>
      <c r="L5" s="80" t="n">
        <v>8</v>
      </c>
      <c r="M5" s="80"/>
      <c r="N5" s="81" t="n">
        <v>5</v>
      </c>
      <c r="O5" s="81"/>
    </row>
    <row r="6" customFormat="false" ht="7.5" hidden="false" customHeight="true" outlineLevel="0" collapsed="false">
      <c r="B6" s="82"/>
      <c r="C6" s="82"/>
      <c r="D6" s="83"/>
      <c r="E6" s="83"/>
      <c r="F6" s="84"/>
      <c r="G6" s="84"/>
      <c r="H6" s="85"/>
      <c r="I6" s="85"/>
      <c r="J6" s="86"/>
      <c r="K6" s="86"/>
      <c r="L6" s="87"/>
      <c r="M6" s="87"/>
      <c r="N6" s="88"/>
      <c r="O6" s="88"/>
    </row>
    <row r="7" customFormat="false" ht="18" hidden="false" customHeight="true" outlineLevel="0" collapsed="false"/>
    <row r="8" customFormat="false" ht="24" hidden="false" customHeight="true" outlineLevel="0" collapsed="false">
      <c r="B8" s="89" t="s">
        <v>508</v>
      </c>
      <c r="C8" s="89"/>
      <c r="D8" s="89"/>
      <c r="E8" s="89"/>
      <c r="F8" s="89"/>
      <c r="G8" s="89"/>
      <c r="H8" s="89"/>
      <c r="I8" s="89" t="s">
        <v>509</v>
      </c>
      <c r="J8" s="89"/>
      <c r="K8" s="89"/>
      <c r="L8" s="89"/>
      <c r="M8" s="89"/>
      <c r="N8" s="89"/>
    </row>
    <row r="9" customFormat="false" ht="21.75" hidden="false" customHeight="true" outlineLevel="0" collapsed="false">
      <c r="B9" s="90" t="s">
        <v>128</v>
      </c>
      <c r="C9" s="90" t="s">
        <v>145</v>
      </c>
      <c r="D9" s="90" t="s">
        <v>167</v>
      </c>
      <c r="E9" s="90" t="s">
        <v>79</v>
      </c>
      <c r="F9" s="90" t="s">
        <v>68</v>
      </c>
      <c r="G9" s="90" t="s">
        <v>510</v>
      </c>
      <c r="H9" s="90" t="s">
        <v>511</v>
      </c>
      <c r="I9" s="90" t="s">
        <v>313</v>
      </c>
      <c r="J9" s="90" t="s">
        <v>512</v>
      </c>
      <c r="K9" s="90" t="s">
        <v>513</v>
      </c>
      <c r="L9" s="90" t="s">
        <v>514</v>
      </c>
    </row>
    <row r="10" customFormat="false" ht="21.75" hidden="false" customHeight="true" outlineLevel="0" collapsed="false">
      <c r="B10" s="91" t="s">
        <v>141</v>
      </c>
      <c r="C10" s="92" t="n">
        <v>2</v>
      </c>
      <c r="D10" s="92" t="n">
        <v>2</v>
      </c>
      <c r="E10" s="92" t="n">
        <v>0</v>
      </c>
      <c r="F10" s="92" t="n">
        <v>0</v>
      </c>
      <c r="G10" s="93" t="n">
        <f aca="false">C10+D10+E10+F10</f>
        <v>4</v>
      </c>
      <c r="H10" s="92" t="n">
        <f aca="false">G10/SUM($G$10:$G$18)</f>
        <v>0.181818181818182</v>
      </c>
      <c r="I10" s="94" t="s">
        <v>515</v>
      </c>
      <c r="J10" s="95" t="n">
        <v>9</v>
      </c>
      <c r="K10" s="96" t="n">
        <f aca="false">J10/22</f>
        <v>0.409090909090909</v>
      </c>
      <c r="L10" s="95" t="s">
        <v>516</v>
      </c>
    </row>
    <row r="11" customFormat="false" ht="21.75" hidden="false" customHeight="true" outlineLevel="0" collapsed="false">
      <c r="B11" s="97" t="s">
        <v>172</v>
      </c>
      <c r="C11" s="98" t="n">
        <v>0</v>
      </c>
      <c r="D11" s="98" t="n">
        <v>3</v>
      </c>
      <c r="E11" s="98" t="n">
        <v>0</v>
      </c>
      <c r="F11" s="98" t="n">
        <v>0</v>
      </c>
      <c r="G11" s="99" t="n">
        <f aca="false">C11+D11+E11+F11</f>
        <v>3</v>
      </c>
      <c r="H11" s="98" t="n">
        <f aca="false">G11/SUM($G$10:$G$18)</f>
        <v>0.136363636363636</v>
      </c>
      <c r="I11" s="100" t="s">
        <v>428</v>
      </c>
      <c r="J11" s="101" t="n">
        <v>9</v>
      </c>
      <c r="K11" s="102" t="n">
        <f aca="false">J11/22</f>
        <v>0.409090909090909</v>
      </c>
      <c r="L11" s="101" t="s">
        <v>517</v>
      </c>
    </row>
    <row r="12" customFormat="false" ht="21.75" hidden="false" customHeight="true" outlineLevel="0" collapsed="false">
      <c r="B12" s="91" t="s">
        <v>194</v>
      </c>
      <c r="C12" s="92" t="n">
        <v>1</v>
      </c>
      <c r="D12" s="92" t="n">
        <v>1</v>
      </c>
      <c r="E12" s="92" t="n">
        <v>1</v>
      </c>
      <c r="F12" s="92" t="n">
        <v>0</v>
      </c>
      <c r="G12" s="93" t="n">
        <f aca="false">C12+D12+E12+F12</f>
        <v>3</v>
      </c>
      <c r="H12" s="92" t="n">
        <f aca="false">G12/SUM($G$10:$G$18)</f>
        <v>0.136363636363636</v>
      </c>
      <c r="I12" s="103" t="s">
        <v>461</v>
      </c>
      <c r="J12" s="95" t="n">
        <v>3</v>
      </c>
      <c r="K12" s="96" t="n">
        <f aca="false">J12/22</f>
        <v>0.136363636363636</v>
      </c>
      <c r="L12" s="95" t="s">
        <v>148</v>
      </c>
    </row>
    <row r="13" customFormat="false" ht="21.75" hidden="false" customHeight="true" outlineLevel="0" collapsed="false">
      <c r="B13" s="97" t="s">
        <v>216</v>
      </c>
      <c r="C13" s="98" t="n">
        <v>1</v>
      </c>
      <c r="D13" s="98" t="n">
        <v>2</v>
      </c>
      <c r="E13" s="98" t="n">
        <v>0</v>
      </c>
      <c r="F13" s="98" t="n">
        <v>0</v>
      </c>
      <c r="G13" s="99" t="n">
        <f aca="false">C13+D13+E13+F13</f>
        <v>3</v>
      </c>
      <c r="H13" s="98" t="n">
        <f aca="false">G13/SUM($G$10:$G$18)</f>
        <v>0.136363636363636</v>
      </c>
      <c r="I13" s="104" t="s">
        <v>518</v>
      </c>
      <c r="J13" s="101" t="n">
        <v>1</v>
      </c>
      <c r="K13" s="102" t="n">
        <f aca="false">J13/22</f>
        <v>0.0454545454545455</v>
      </c>
      <c r="L13" s="101" t="s">
        <v>519</v>
      </c>
    </row>
    <row r="14" customFormat="false" ht="19.5" hidden="false" customHeight="true" outlineLevel="0" collapsed="false">
      <c r="B14" s="91" t="s">
        <v>239</v>
      </c>
      <c r="C14" s="92" t="n">
        <v>0</v>
      </c>
      <c r="D14" s="92" t="n">
        <v>1</v>
      </c>
      <c r="E14" s="92" t="n">
        <v>1</v>
      </c>
      <c r="F14" s="92" t="n">
        <v>0</v>
      </c>
      <c r="G14" s="93" t="n">
        <f aca="false">C14+D14+E14+F14</f>
        <v>2</v>
      </c>
      <c r="H14" s="92" t="n">
        <f aca="false">G14/SUM($G$10:$G$18)</f>
        <v>0.0909090909090909</v>
      </c>
    </row>
    <row r="15" customFormat="false" ht="19.5" hidden="false" customHeight="true" outlineLevel="0" collapsed="false">
      <c r="B15" s="97" t="s">
        <v>253</v>
      </c>
      <c r="C15" s="98" t="n">
        <v>0</v>
      </c>
      <c r="D15" s="98" t="n">
        <v>2</v>
      </c>
      <c r="E15" s="98" t="n">
        <v>1</v>
      </c>
      <c r="F15" s="98" t="n">
        <v>0</v>
      </c>
      <c r="G15" s="99" t="n">
        <f aca="false">C15+D15+E15+F15</f>
        <v>3</v>
      </c>
      <c r="H15" s="98" t="n">
        <f aca="false">G15/SUM($G$10:$G$18)</f>
        <v>0.136363636363636</v>
      </c>
    </row>
    <row r="16" customFormat="false" ht="19.5" hidden="false" customHeight="true" outlineLevel="0" collapsed="false">
      <c r="B16" s="91" t="s">
        <v>275</v>
      </c>
      <c r="C16" s="92" t="n">
        <v>0</v>
      </c>
      <c r="D16" s="92" t="n">
        <v>0</v>
      </c>
      <c r="E16" s="92" t="n">
        <v>2</v>
      </c>
      <c r="F16" s="92" t="n">
        <v>0</v>
      </c>
      <c r="G16" s="93" t="n">
        <f aca="false">C16+D16+E16+F16</f>
        <v>2</v>
      </c>
      <c r="H16" s="92" t="n">
        <f aca="false">G16/SUM($G$10:$G$18)</f>
        <v>0.0909090909090909</v>
      </c>
    </row>
    <row r="17" customFormat="false" ht="19.5" hidden="false" customHeight="true" outlineLevel="0" collapsed="false">
      <c r="B17" s="97" t="s">
        <v>289</v>
      </c>
      <c r="C17" s="98" t="n">
        <v>0</v>
      </c>
      <c r="D17" s="98" t="n">
        <v>0</v>
      </c>
      <c r="E17" s="98" t="n">
        <v>1</v>
      </c>
      <c r="F17" s="98" t="n">
        <v>0</v>
      </c>
      <c r="G17" s="99" t="n">
        <f aca="false">C17+D17+E17+F17</f>
        <v>1</v>
      </c>
      <c r="H17" s="98" t="n">
        <f aca="false">G17/SUM($G$10:$G$18)</f>
        <v>0.0454545454545455</v>
      </c>
    </row>
    <row r="18" customFormat="false" ht="19.5" hidden="false" customHeight="true" outlineLevel="0" collapsed="false">
      <c r="B18" s="91" t="s">
        <v>297</v>
      </c>
      <c r="C18" s="92" t="n">
        <v>0</v>
      </c>
      <c r="D18" s="92" t="n">
        <v>1</v>
      </c>
      <c r="E18" s="92" t="n">
        <v>0</v>
      </c>
      <c r="F18" s="92" t="n">
        <v>0</v>
      </c>
      <c r="G18" s="93" t="n">
        <f aca="false">C18+D18+E18+F18</f>
        <v>1</v>
      </c>
      <c r="H18" s="92" t="n">
        <f aca="false">G18/SUM($G$10:$G$18)</f>
        <v>0.0454545454545455</v>
      </c>
    </row>
    <row r="19" customFormat="false" ht="19.5" hidden="false" customHeight="true" outlineLevel="0" collapsed="false">
      <c r="B19" s="105" t="s">
        <v>520</v>
      </c>
      <c r="C19" s="105"/>
      <c r="D19" s="105"/>
      <c r="E19" s="105"/>
      <c r="F19" s="105"/>
      <c r="G19" s="106" t="n">
        <f aca="false">SUM(G10:G18)</f>
        <v>22</v>
      </c>
      <c r="H19" s="105" t="s">
        <v>521</v>
      </c>
    </row>
    <row r="20" customFormat="false" ht="18" hidden="false" customHeight="true" outlineLevel="0" collapsed="false"/>
    <row r="21" customFormat="false" ht="18" hidden="false" customHeight="true" outlineLevel="0" collapsed="false"/>
    <row r="22" customFormat="false" ht="18" hidden="false" customHeight="true" outlineLevel="0" collapsed="false">
      <c r="B22" s="1" t="s">
        <v>145</v>
      </c>
      <c r="C22" s="1" t="n">
        <v>4</v>
      </c>
      <c r="E22" s="1" t="s">
        <v>141</v>
      </c>
      <c r="F22" s="1" t="n">
        <v>4</v>
      </c>
    </row>
    <row r="23" customFormat="false" ht="18" hidden="false" customHeight="true" outlineLevel="0" collapsed="false">
      <c r="B23" s="1" t="s">
        <v>167</v>
      </c>
      <c r="C23" s="1" t="n">
        <v>9</v>
      </c>
      <c r="E23" s="1" t="s">
        <v>172</v>
      </c>
      <c r="F23" s="1" t="n">
        <v>3</v>
      </c>
    </row>
    <row r="24" customFormat="false" ht="18" hidden="false" customHeight="true" outlineLevel="0" collapsed="false">
      <c r="B24" s="1" t="s">
        <v>79</v>
      </c>
      <c r="C24" s="1" t="n">
        <v>6</v>
      </c>
      <c r="E24" s="1" t="s">
        <v>194</v>
      </c>
      <c r="F24" s="1" t="n">
        <v>3</v>
      </c>
    </row>
    <row r="25" customFormat="false" ht="18" hidden="false" customHeight="true" outlineLevel="0" collapsed="false">
      <c r="B25" s="1" t="s">
        <v>68</v>
      </c>
      <c r="C25" s="1" t="n">
        <v>3</v>
      </c>
      <c r="E25" s="1" t="s">
        <v>216</v>
      </c>
      <c r="F25" s="1" t="n">
        <v>3</v>
      </c>
    </row>
    <row r="26" customFormat="false" ht="18" hidden="false" customHeight="true" outlineLevel="0" collapsed="false">
      <c r="E26" s="1" t="s">
        <v>239</v>
      </c>
      <c r="F26" s="1" t="n">
        <v>2</v>
      </c>
    </row>
    <row r="27" customFormat="false" ht="18" hidden="false" customHeight="true" outlineLevel="0" collapsed="false">
      <c r="E27" s="1" t="s">
        <v>522</v>
      </c>
      <c r="F27" s="1" t="n">
        <v>3</v>
      </c>
    </row>
    <row r="28" customFormat="false" ht="18" hidden="false" customHeight="true" outlineLevel="0" collapsed="false">
      <c r="E28" s="1" t="s">
        <v>287</v>
      </c>
      <c r="F28" s="1" t="n">
        <v>2</v>
      </c>
    </row>
    <row r="29" customFormat="false" ht="18" hidden="false" customHeight="true" outlineLevel="0" collapsed="false">
      <c r="E29" s="1" t="s">
        <v>523</v>
      </c>
      <c r="F29" s="1" t="n">
        <v>1</v>
      </c>
    </row>
    <row r="30" customFormat="false" ht="18" hidden="false" customHeight="true" outlineLevel="0" collapsed="false">
      <c r="E30" s="1" t="s">
        <v>524</v>
      </c>
      <c r="F30" s="1" t="n">
        <v>1</v>
      </c>
    </row>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row r="40" customFormat="false" ht="18" hidden="false" customHeight="true" outlineLevel="0" collapsed="false"/>
    <row r="41" customFormat="false" ht="18" hidden="false" customHeight="true" outlineLevel="0" collapsed="false"/>
    <row r="42" customFormat="false" ht="18" hidden="false" customHeight="true" outlineLevel="0" collapsed="false"/>
    <row r="43" customFormat="false" ht="18" hidden="false" customHeight="true" outlineLevel="0" collapsed="false"/>
    <row r="44" customFormat="false" ht="18" hidden="false" customHeight="true" outlineLevel="0" collapsed="false"/>
    <row r="45" customFormat="false" ht="18" hidden="false" customHeight="true" outlineLevel="0" collapsed="false"/>
    <row r="46" customFormat="false" ht="18" hidden="false" customHeight="true" outlineLevel="0" collapsed="false"/>
    <row r="47" customFormat="false" ht="18" hidden="false" customHeight="true" outlineLevel="0" collapsed="false"/>
    <row r="48" customFormat="false" ht="18" hidden="false" customHeight="true" outlineLevel="0" collapsed="false"/>
    <row r="49" customFormat="false" ht="18" hidden="false" customHeight="true" outlineLevel="0" collapsed="false"/>
    <row r="50" customFormat="false" ht="18" hidden="false" customHeight="true" outlineLevel="0" collapsed="false"/>
    <row r="51" customFormat="false" ht="18" hidden="false" customHeight="true" outlineLevel="0" collapsed="false"/>
    <row r="52" customFormat="false" ht="18" hidden="false" customHeight="true" outlineLevel="0" collapsed="false"/>
    <row r="53" customFormat="false" ht="18" hidden="false" customHeight="true" outlineLevel="0" collapsed="false"/>
    <row r="54" customFormat="false" ht="18" hidden="false" customHeight="true" outlineLevel="0" collapsed="false"/>
    <row r="55" customFormat="false" ht="18" hidden="false" customHeight="true" outlineLevel="0" collapsed="false"/>
    <row r="56" customFormat="false" ht="18" hidden="false" customHeight="true" outlineLevel="0" collapsed="false"/>
    <row r="57" customFormat="false" ht="18" hidden="false" customHeight="true" outlineLevel="0" collapsed="false"/>
    <row r="58" customFormat="false" ht="18" hidden="false" customHeight="true" outlineLevel="0" collapsed="false"/>
    <row r="59" customFormat="false" ht="18" hidden="false" customHeight="true" outlineLevel="0" collapsed="false"/>
    <row r="60" customFormat="false" ht="18" hidden="false" customHeight="true" outlineLevel="0" collapsed="false"/>
    <row r="61" customFormat="false" ht="18" hidden="false" customHeight="true" outlineLevel="0" collapsed="false"/>
    <row r="62" customFormat="false" ht="18" hidden="false" customHeight="true" outlineLevel="0" collapsed="false"/>
    <row r="63" customFormat="false" ht="18" hidden="false" customHeight="true" outlineLevel="0" collapsed="false"/>
    <row r="64" customFormat="false" ht="18" hidden="false" customHeight="true" outlineLevel="0" collapsed="false"/>
  </sheetData>
  <mergeCells count="25">
    <mergeCell ref="A1:N1"/>
    <mergeCell ref="A2:N2"/>
    <mergeCell ref="B4:C4"/>
    <mergeCell ref="D4:E4"/>
    <mergeCell ref="F4:G4"/>
    <mergeCell ref="H4:I4"/>
    <mergeCell ref="J4:K4"/>
    <mergeCell ref="L4:M4"/>
    <mergeCell ref="N4:O4"/>
    <mergeCell ref="B5:C5"/>
    <mergeCell ref="D5:E5"/>
    <mergeCell ref="F5:G5"/>
    <mergeCell ref="H5:I5"/>
    <mergeCell ref="J5:K5"/>
    <mergeCell ref="L5:M5"/>
    <mergeCell ref="N5:O5"/>
    <mergeCell ref="B6:C6"/>
    <mergeCell ref="D6:E6"/>
    <mergeCell ref="F6:G6"/>
    <mergeCell ref="H6:I6"/>
    <mergeCell ref="J6:K6"/>
    <mergeCell ref="L6:M6"/>
    <mergeCell ref="N6:O6"/>
    <mergeCell ref="B8:H8"/>
    <mergeCell ref="I8:N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2026-05-07T08:12:05Z</dcterms:created>
  <dc:creator>openpyxl</dc:creator>
  <dc:description/>
  <dc:language>en-US</dc:language>
  <cp:lastModifiedBy/>
  <dcterms:modified xsi:type="dcterms:W3CDTF">2026-05-08T00:30:18Z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